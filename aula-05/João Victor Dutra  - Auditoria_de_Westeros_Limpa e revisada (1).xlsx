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d5a537c68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Tratada" sheetId="1" r:id="R8cc69d55113d4d70"/>
    <x:sheet xmlns:r="http://schemas.openxmlformats.org/officeDocument/2006/relationships" name="Auditoria" sheetId="2" r:id="Rd223e64d86a24d16"/>
  </x:sheets>
</x:workbook>
</file>

<file path=xl/sharedStrings.xml><?xml version="1.0" encoding="utf-8"?>
<x:sst xmlns:x="http://schemas.openxmlformats.org/spreadsheetml/2006/main">
  <x:si>
    <x:t xml:space="preserve">status</x:t>
  </x:si>
  <x:si>
    <x:t xml:space="preserve">nome</x:t>
  </x:si>
  <x:si>
    <x:t xml:space="preserve">cpf</x:t>
  </x:si>
  <x:si>
    <x:t xml:space="preserve">idade</x:t>
  </x:si>
  <x:si>
    <x:t xml:space="preserve">data_nascimento</x:t>
  </x:si>
  <x:si>
    <x:t xml:space="preserve">cidade</x:t>
  </x:si>
  <x:si>
    <x:t xml:space="preserve">regiao</x:t>
  </x:si>
  <x:si>
    <x:t xml:space="preserve">renda_mensal</x:t>
  </x:si>
  <x:si>
    <x:t xml:space="preserve">credito_tomado</x:t>
  </x:si>
  <x:si>
    <x:t xml:space="preserve">flag_inadimplente</x:t>
  </x:si>
  <x:si>
    <x:t xml:space="preserve">qtde_batalhas</x:t>
  </x:si>
  <x:si>
    <x:t xml:space="preserve">nivel_risco</x:t>
  </x:si>
  <x:si>
    <x:t xml:space="preserve">valor_solicitado</x:t>
  </x:si>
  <x:si>
    <x:t xml:space="preserve">analise_risco</x:t>
  </x:si>
  <x:si>
    <x:t xml:space="preserve">analise_credito</x:t>
  </x:si>
  <x:si>
    <x:t xml:space="preserve">liberacao_de_credito</x:t>
  </x:si>
  <x:si>
    <x:t xml:space="preserve">Ativo</x:t>
  </x:si>
  <x:si>
    <x:t xml:space="preserve">Ellaria Baelish</x:t>
  </x:si>
  <x:si>
    <x:t xml:space="preserve">000.000.336-00</x:t>
  </x:si>
  <x:si>
    <x:t xml:space="preserve">13/01/1994</x:t>
  </x:si>
  <x:si>
    <x:t xml:space="preserve">Ninho da Águia</x:t>
  </x:si>
  <x:si>
    <x:t xml:space="preserve">Vale</x:t>
  </x:si>
  <x:si>
    <x:t xml:space="preserve">Sim</x:t>
  </x:si>
  <x:si>
    <x:t xml:space="preserve">Inativo</x:t>
  </x:si>
  <x:si>
    <x:t xml:space="preserve">Stannis Lannister</x:t>
  </x:si>
  <x:si>
    <x:t xml:space="preserve">000.000.361-00</x:t>
  </x:si>
  <x:si>
    <x:t xml:space="preserve">26/02/2002</x:t>
  </x:si>
  <x:si>
    <x:t xml:space="preserve">Ponta Tempestade</x:t>
  </x:si>
  <x:si>
    <x:t xml:space="preserve">Terras da Tempestade</x:t>
  </x:si>
  <x:si>
    <x:t xml:space="preserve">Asha Hornwood</x:t>
  </x:si>
  <x:si>
    <x:t xml:space="preserve">000.000.363-00</x:t>
  </x:si>
  <x:si>
    <x:t xml:space="preserve">18/06/1993</x:t>
  </x:si>
  <x:si>
    <x:t xml:space="preserve">Pedra do Dragão</x:t>
  </x:si>
  <x:si>
    <x:t xml:space="preserve">Terras da Coroa</x:t>
  </x:si>
  <x:si>
    <x:t xml:space="preserve">Não</x:t>
  </x:si>
  <x:si>
    <x:t xml:space="preserve">Jorah Dondarrion</x:t>
  </x:si>
  <x:si>
    <x:t xml:space="preserve">000.000.210-00</x:t>
  </x:si>
  <x:si>
    <x:t xml:space="preserve">04/05/1963</x:t>
  </x:si>
  <x:si>
    <x:t xml:space="preserve">Pyke</x:t>
  </x:si>
  <x:si>
    <x:t xml:space="preserve">Ilhas de Ferro</x:t>
  </x:si>
  <x:si>
    <x:t xml:space="preserve">Jojen Florent</x:t>
  </x:si>
  <x:si>
    <x:t xml:space="preserve">000.000.321-00</x:t>
  </x:si>
  <x:si>
    <x:t xml:space="preserve">21/11/1993</x:t>
  </x:si>
  <x:si>
    <x:t xml:space="preserve">Olenna Baelish</x:t>
  </x:si>
  <x:si>
    <x:t xml:space="preserve">000.000.191-00</x:t>
  </x:si>
  <x:si>
    <x:t xml:space="preserve">18/05/1978</x:t>
  </x:si>
  <x:si>
    <x:t xml:space="preserve">Lannisporto</x:t>
  </x:si>
  <x:si>
    <x:t xml:space="preserve">Oeste</x:t>
  </x:si>
  <x:si>
    <x:t xml:space="preserve">Brienne Manderly</x:t>
  </x:si>
  <x:si>
    <x:t xml:space="preserve">000.000.076-00</x:t>
  </x:si>
  <x:si>
    <x:t xml:space="preserve">04/02/1998</x:t>
  </x:si>
  <x:si>
    <x:t xml:space="preserve">Yara Targaryen</x:t>
  </x:si>
  <x:si>
    <x:t xml:space="preserve">000.000.059-00</x:t>
  </x:si>
  <x:si>
    <x:t xml:space="preserve">08/05/1984</x:t>
  </x:si>
  <x:si>
    <x:t xml:space="preserve">Margaery Tarly</x:t>
  </x:si>
  <x:si>
    <x:t xml:space="preserve">000.000.274-00</x:t>
  </x:si>
  <x:si>
    <x:t xml:space="preserve">21/01/1992</x:t>
  </x:si>
  <x:si>
    <x:t xml:space="preserve">Viserys Seaworth</x:t>
  </x:si>
  <x:si>
    <x:t xml:space="preserve">000.000.024-00</x:t>
  </x:si>
  <x:si>
    <x:t xml:space="preserve">17/10/1964</x:t>
  </x:si>
  <x:si>
    <x:t xml:space="preserve">Meereen</x:t>
  </x:si>
  <x:si>
    <x:t xml:space="preserve">Essos</x:t>
  </x:si>
  <x:si>
    <x:t xml:space="preserve">Tormund Cerwyn</x:t>
  </x:si>
  <x:si>
    <x:t xml:space="preserve">000.000.039-00</x:t>
  </x:si>
  <x:si>
    <x:t xml:space="preserve">21/06/1993</x:t>
  </x:si>
  <x:si>
    <x:t xml:space="preserve">Catelyn Westerling</x:t>
  </x:si>
  <x:si>
    <x:t xml:space="preserve">000.000.358-00</x:t>
  </x:si>
  <x:si>
    <x:t xml:space="preserve">04/03/1956</x:t>
  </x:si>
  <x:si>
    <x:t xml:space="preserve">Braavos</x:t>
  </x:si>
  <x:si>
    <x:t xml:space="preserve">Robb Baratheon</x:t>
  </x:si>
  <x:si>
    <x:t xml:space="preserve">000.000.365-00</x:t>
  </x:si>
  <x:si>
    <x:t xml:space="preserve">24/03/1972</x:t>
  </x:si>
  <x:si>
    <x:t xml:space="preserve">Asha Tallhart</x:t>
  </x:si>
  <x:si>
    <x:t xml:space="preserve">000.000.086-00</x:t>
  </x:si>
  <x:si>
    <x:t xml:space="preserve">12/05/1988</x:t>
  </x:si>
  <x:si>
    <x:t xml:space="preserve">Missandei Tarly</x:t>
  </x:si>
  <x:si>
    <x:t xml:space="preserve">000.000.200-00</x:t>
  </x:si>
  <x:si>
    <x:t xml:space="preserve">11/11/1970</x:t>
  </x:si>
  <x:si>
    <x:t xml:space="preserve">Jeor Mallister</x:t>
  </x:si>
  <x:si>
    <x:t xml:space="preserve">000.000.162-00</x:t>
  </x:si>
  <x:si>
    <x:t xml:space="preserve">07/07/1979</x:t>
  </x:si>
  <x:si>
    <x:t xml:space="preserve">Correrrio</x:t>
  </x:si>
  <x:si>
    <x:t xml:space="preserve">Terras Fluviais</x:t>
  </x:si>
  <x:si>
    <x:t xml:space="preserve">Eddard Crakehall</x:t>
  </x:si>
  <x:si>
    <x:t xml:space="preserve">000.000.318-00</x:t>
  </x:si>
  <x:si>
    <x:t xml:space="preserve">24/02/1983</x:t>
  </x:si>
  <x:si>
    <x:t xml:space="preserve">Castelo Negro</x:t>
  </x:si>
  <x:si>
    <x:t xml:space="preserve">Norte</x:t>
  </x:si>
  <x:si>
    <x:t xml:space="preserve">Podrick Swyft</x:t>
  </x:si>
  <x:si>
    <x:t xml:space="preserve">000.000.090-00</x:t>
  </x:si>
  <x:si>
    <x:t xml:space="preserve">03/05/1994</x:t>
  </x:si>
  <x:si>
    <x:t xml:space="preserve">Podrick Dayne</x:t>
  </x:si>
  <x:si>
    <x:t xml:space="preserve">000.000.223-00</x:t>
  </x:si>
  <x:si>
    <x:t xml:space="preserve">01/11/2000</x:t>
  </x:si>
  <x:si>
    <x:t xml:space="preserve">Vilavelha</x:t>
  </x:si>
  <x:si>
    <x:t xml:space="preserve">Campina</x:t>
  </x:si>
  <x:si>
    <x:t xml:space="preserve">Ellaria Seaworth</x:t>
  </x:si>
  <x:si>
    <x:t xml:space="preserve">000.000.125-00</x:t>
  </x:si>
  <x:si>
    <x:t xml:space="preserve">03/01/2003</x:t>
  </x:si>
  <x:si>
    <x:t xml:space="preserve">Melisandre Clegane</x:t>
  </x:si>
  <x:si>
    <x:t xml:space="preserve">000.000.231-00</x:t>
  </x:si>
  <x:si>
    <x:t xml:space="preserve">26/11/1972</x:t>
  </x:si>
  <x:si>
    <x:t xml:space="preserve">Ilha dos Ursos</x:t>
  </x:si>
  <x:si>
    <x:t xml:space="preserve">Robert Karstark</x:t>
  </x:si>
  <x:si>
    <x:t xml:space="preserve">000.000.184-00</x:t>
  </x:si>
  <x:si>
    <x:t xml:space="preserve">13/07/1958</x:t>
  </x:si>
  <x:si>
    <x:t xml:space="preserve">Rhaegar Stark</x:t>
  </x:si>
  <x:si>
    <x:t xml:space="preserve">000.000.119-00</x:t>
  </x:si>
  <x:si>
    <x:t xml:space="preserve">23/04/1993</x:t>
  </x:si>
  <x:si>
    <x:t xml:space="preserve">Loras Greyjoy</x:t>
  </x:si>
  <x:si>
    <x:t xml:space="preserve">000.000.362-00</x:t>
  </x:si>
  <x:si>
    <x:t xml:space="preserve">26/11/1957</x:t>
  </x:si>
  <x:si>
    <x:t xml:space="preserve">Fosso Cailin</x:t>
  </x:si>
  <x:si>
    <x:t xml:space="preserve">Jorah Hightower</x:t>
  </x:si>
  <x:si>
    <x:t xml:space="preserve">000.000.346-00</x:t>
  </x:si>
  <x:si>
    <x:t xml:space="preserve">05/09/1963</x:t>
  </x:si>
  <x:si>
    <x:t xml:space="preserve">Loras Clegane</x:t>
  </x:si>
  <x:si>
    <x:t xml:space="preserve">000.000.287-00</x:t>
  </x:si>
  <x:si>
    <x:t xml:space="preserve">13/03/1968</x:t>
  </x:si>
  <x:si>
    <x:t xml:space="preserve">Harrenhal</x:t>
  </x:si>
  <x:si>
    <x:t xml:space="preserve">000.000.343-00</x:t>
  </x:si>
  <x:si>
    <x:t xml:space="preserve">10/10/1977</x:t>
  </x:si>
  <x:si>
    <x:t xml:space="preserve">Winterfell</x:t>
  </x:si>
  <x:si>
    <x:t xml:space="preserve">Samwell Yronwood</x:t>
  </x:si>
  <x:si>
    <x:t xml:space="preserve">000.000.124-00</x:t>
  </x:si>
  <x:si>
    <x:t xml:space="preserve">05/09/1996</x:t>
  </x:si>
  <x:si>
    <x:t xml:space="preserve">Jardim de Cima</x:t>
  </x:si>
  <x:si>
    <x:t xml:space="preserve">Catelyn Yronwood</x:t>
  </x:si>
  <x:si>
    <x:t xml:space="preserve">000.000.226-00</x:t>
  </x:si>
  <x:si>
    <x:t xml:space="preserve">02/01/1988</x:t>
  </x:si>
  <x:si>
    <x:t xml:space="preserve">Brienne Reed</x:t>
  </x:si>
  <x:si>
    <x:t xml:space="preserve">000.000.306-00</x:t>
  </x:si>
  <x:si>
    <x:t xml:space="preserve">22/04/1958</x:t>
  </x:si>
  <x:si>
    <x:t xml:space="preserve">Rhaegar Umber</x:t>
  </x:si>
  <x:si>
    <x:t xml:space="preserve">000.000.247-00</x:t>
  </x:si>
  <x:si>
    <x:t xml:space="preserve">18/05/2007</x:t>
  </x:si>
  <x:si>
    <x:t xml:space="preserve">Roose Manderly</x:t>
  </x:si>
  <x:si>
    <x:t xml:space="preserve">000.000.154-00</x:t>
  </x:si>
  <x:si>
    <x:t xml:space="preserve">01/11/1983</x:t>
  </x:si>
  <x:si>
    <x:t xml:space="preserve">Dorne</x:t>
  </x:si>
  <x:si>
    <x:t xml:space="preserve">Jeor Florent</x:t>
  </x:si>
  <x:si>
    <x:t xml:space="preserve">000.000.249-00</x:t>
  </x:si>
  <x:si>
    <x:t xml:space="preserve">14/05/1999</x:t>
  </x:si>
  <x:si>
    <x:t xml:space="preserve">Bran Yronwood</x:t>
  </x:si>
  <x:si>
    <x:t xml:space="preserve">000.000.057-00</x:t>
  </x:si>
  <x:si>
    <x:t xml:space="preserve">24/06/1984</x:t>
  </x:si>
  <x:si>
    <x:t xml:space="preserve">Bronn Arryn</x:t>
  </x:si>
  <x:si>
    <x:t xml:space="preserve">000.000.016-00</x:t>
  </x:si>
  <x:si>
    <x:t xml:space="preserve">03/01/1982</x:t>
  </x:si>
  <x:si>
    <x:t xml:space="preserve">Shae Clegane</x:t>
  </x:si>
  <x:si>
    <x:t xml:space="preserve">000.000.205-00</x:t>
  </x:si>
  <x:si>
    <x:t xml:space="preserve">07/05/1986</x:t>
  </x:si>
  <x:si>
    <x:t xml:space="preserve">Ramsay Hornwood</x:t>
  </x:si>
  <x:si>
    <x:t xml:space="preserve">000.000.005-00</x:t>
  </x:si>
  <x:si>
    <x:t xml:space="preserve">16/11/1960</x:t>
  </x:si>
  <x:si>
    <x:t xml:space="preserve">Meera Payne</x:t>
  </x:si>
  <x:si>
    <x:t xml:space="preserve">000.000.131-00</x:t>
  </x:si>
  <x:si>
    <x:t xml:space="preserve">03/11/1962</x:t>
  </x:si>
  <x:si>
    <x:t xml:space="preserve">Melisandre Baratheon</x:t>
  </x:si>
  <x:si>
    <x:t xml:space="preserve">000.000.364-00</x:t>
  </x:si>
  <x:si>
    <x:t xml:space="preserve">Podrick Targaryen</x:t>
  </x:si>
  <x:si>
    <x:t xml:space="preserve">000.000.050-00</x:t>
  </x:si>
  <x:si>
    <x:t xml:space="preserve">02/08/1987</x:t>
  </x:si>
  <x:si>
    <x:t xml:space="preserve">Margaery Manderly</x:t>
  </x:si>
  <x:si>
    <x:t xml:space="preserve">000.000.222-00</x:t>
  </x:si>
  <x:si>
    <x:t xml:space="preserve">28/07/1963</x:t>
  </x:si>
  <x:si>
    <x:t xml:space="preserve">Daenerys Seaworth</x:t>
  </x:si>
  <x:si>
    <x:t xml:space="preserve">000.000.341-00</x:t>
  </x:si>
  <x:si>
    <x:t xml:space="preserve">07/10/1971</x:t>
  </x:si>
  <x:si>
    <x:t xml:space="preserve">000.000.140-00</x:t>
  </x:si>
  <x:si>
    <x:t xml:space="preserve">02/02/1997</x:t>
  </x:si>
  <x:si>
    <x:t xml:space="preserve">Jorah Redwyne</x:t>
  </x:si>
  <x:si>
    <x:t xml:space="preserve">000.000.165-00</x:t>
  </x:si>
  <x:si>
    <x:t xml:space="preserve">12/12/1988</x:t>
  </x:si>
  <x:si>
    <x:t xml:space="preserve">Monte Chifre</x:t>
  </x:si>
  <x:si>
    <x:t xml:space="preserve">Margaery Hornwood</x:t>
  </x:si>
  <x:si>
    <x:t xml:space="preserve">000.000.151-00</x:t>
  </x:si>
  <x:si>
    <x:t xml:space="preserve">22/08/2001</x:t>
  </x:si>
  <x:si>
    <x:t xml:space="preserve">Arya Redwyne</x:t>
  </x:si>
  <x:si>
    <x:t xml:space="preserve">000.000.333-00</x:t>
  </x:si>
  <x:si>
    <x:t xml:space="preserve">11/12/2004</x:t>
  </x:si>
  <x:si>
    <x:t xml:space="preserve">Varys Bracken</x:t>
  </x:si>
  <x:si>
    <x:t xml:space="preserve">000.000.215-00</x:t>
  </x:si>
  <x:si>
    <x:t xml:space="preserve">02/04/1998</x:t>
  </x:si>
  <x:si>
    <x:t xml:space="preserve">Porto Real</x:t>
  </x:si>
  <x:si>
    <x:t xml:space="preserve">Brienne Royce</x:t>
  </x:si>
  <x:si>
    <x:t xml:space="preserve">000.000.108-00</x:t>
  </x:si>
  <x:si>
    <x:t xml:space="preserve">20/12/1986</x:t>
  </x:si>
  <x:si>
    <x:t xml:space="preserve">Rickon Redwyne</x:t>
  </x:si>
  <x:si>
    <x:t xml:space="preserve">000.000.150-00</x:t>
  </x:si>
  <x:si>
    <x:t xml:space="preserve">19/08/1953</x:t>
  </x:si>
  <x:si>
    <x:t xml:space="preserve">Tormund Karstark</x:t>
  </x:si>
  <x:si>
    <x:t xml:space="preserve">000.000.284-00</x:t>
  </x:si>
  <x:si>
    <x:t xml:space="preserve">12/12/1983</x:t>
  </x:si>
  <x:si>
    <x:t xml:space="preserve">Etapa</x:t>
  </x:si>
  <x:si>
    <x:t xml:space="preserve">Problema encontrado</x:t>
  </x:si>
  <x:si>
    <x:t xml:space="preserve">Coluna</x:t>
  </x:si>
  <x:si>
    <x:t xml:space="preserve">O que foi feito</x:t>
  </x:si>
  <x:si>
    <x:t xml:space="preserve">Por quê</x:t>
  </x:si>
  <x:si>
    <x:t xml:space="preserve">1. Limpeza</x:t>
  </x:si>
  <x:si>
    <x:t xml:space="preserve">Dados fora do padrão</x:t>
  </x:si>
  <x:si>
    <x:t xml:space="preserve">Diversas</x:t>
  </x:si>
  <x:si>
    <x:t xml:space="preserve">Valores e textos padronizados</x:t>
  </x:si>
  <x:si>
    <x:t xml:space="preserve">Facilitar as análises e fórmulas</x:t>
  </x:si>
  <x:si>
    <x:t xml:space="preserve">2. Auditoria</x:t>
  </x:si>
  <x:si>
    <x:t xml:space="preserve">Idade de 126 anos e data de nascimento vazia</x:t>
  </x:si>
  <x:si>
    <x:t xml:space="preserve">idade / data_nascimento</x:t>
  </x:si>
  <x:si>
    <x:t xml:space="preserve">Identificado e mantido para análise manual</x:t>
  </x:si>
  <x:si>
    <x:t xml:space="preserve">Evitar alterações sem informação confiável</x:t>
  </x:si>
  <x:si>
    <x:t xml:space="preserve">3. Nível de risco</x:t>
  </x:si>
  <x:si>
    <x:t xml:space="preserve">Coluna sem classificação</x:t>
  </x:si>
  <x:si>
    <x:t xml:space="preserve">Até 10 → Baixo; 11–25 → Médio; &gt;25 → Alto</x:t>
  </x:si>
  <x:si>
    <x:t xml:space="preserve">Aplicar a regra de risco</x:t>
  </x:si>
  <x:si>
    <x:t xml:space="preserve">4. Análise 1</x:t>
  </x:si>
  <x:si>
    <x:t xml:space="preserve">Risco e inadimplência não combinados</x:t>
  </x:si>
  <x:si>
    <x:t xml:space="preserve">Alto + Sim → Negada; demais → Passa</x:t>
  </x:si>
  <x:si>
    <x:t xml:space="preserve">Aplicar o primeiro critério</x:t>
  </x:si>
  <x:si>
    <x:t xml:space="preserve">5. Análise 2</x:t>
  </x:si>
  <x:si>
    <x:t xml:space="preserve">Crédito e inadimplência não combinados</x:t>
  </x:si>
  <x:si>
    <x:t xml:space="preserve">Crédito &gt; R$ 50.000 + Sim → Negada; demais → Passa</x:t>
  </x:si>
  <x:si>
    <x:t xml:space="preserve">Aplicar o segundo critério</x:t>
  </x:si>
  <x:si>
    <x:t xml:space="preserve">6. Análise 3</x:t>
  </x:si>
  <x:si>
    <x:t xml:space="preserve">Definição da decisão final</x:t>
  </x:si>
  <x:si>
    <x:t xml:space="preserve">Negada → R$ 0; Ativo sem restrições → valor solicitado + 8%</x:t>
  </x:si>
  <x:si>
    <x:t xml:space="preserve">Definir a liberação final</x:t>
  </x:si>
</x:sst>
</file>

<file path=xl/styles.xml><?xml version="1.0" encoding="utf-8"?>
<x:styleSheet xmlns:x="http://schemas.openxmlformats.org/spreadsheetml/2006/main">
  <x:numFmts count="2">
    <x:numFmt numFmtId="164" formatCode="R$ #,##0.00"/>
    <x:numFmt numFmtId="165" formatCode="[$R$ -416]#,##0.00"/>
  </x:numFmts>
  <x:fonts count="8">
    <x:font>
      <x:sz val="11"/>
      <x:color theme="1"/>
      <x:name val="Calibri"/>
    </x:font>
    <x:font>
      <x:b/>
      <x:color rgb="FF000000"/>
      <x:name val="Arial"/>
    </x:font>
    <x:font>
      <x:b/>
      <x:color theme="1"/>
      <x:name val="Calibri"/>
    </x:font>
    <x:font>
      <x:b/>
      <x:sz val="9"/>
      <x:color rgb="FF000000"/>
      <x:name val="Arial"/>
    </x:font>
    <x:font>
      <x:sz val="9"/>
      <x:color rgb="FF000000"/>
      <x:name val="Arial"/>
    </x:font>
    <x:font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F7F7F7"/>
      </x:patternFill>
    </x:fill>
  </x:fills>
  <x:borders count="3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28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wrapText="1"/>
    </x:xf>
    <x:xf numFmtId="0" fontId="2" fillId="0" borderId="2" xfId="0" applyFont="1" applyBorder="1" applyAlignment="1">
      <x:alignment horizontal="center" vertical="top"/>
    </x:xf>
    <x:xf numFmtId="0" fontId="3" fillId="0" borderId="1" xfId="0" applyFont="1" applyBorder="1" applyAlignment="1">
      <x:alignment horizontal="center" wrapText="1"/>
    </x:xf>
    <x:xf numFmtId="0" fontId="4" fillId="0" borderId="1" xfId="0" applyFont="1" applyBorder="1" applyAlignment="1">
      <x:alignment horizontal="left" wrapText="1"/>
    </x:xf>
    <x:xf numFmtId="0" fontId="4" fillId="0" borderId="1" xfId="0" applyFont="1" applyBorder="1" applyAlignment="1">
      <x:alignment horizontal="center" wrapText="1"/>
    </x:xf>
    <x:xf numFmtId="0" fontId="5" fillId="0" borderId="0" xfId="0" applyFont="1"/>
    <x:xf numFmtId="164" fontId="6" fillId="0" borderId="0" xfId="0" applyNumberFormat="1" applyFont="1"/>
    <x:xf numFmtId="0" fontId="7" fillId="0" borderId="0" xfId="0" applyFont="1" applyAlignment="1">
      <x:alignment vertical="bottom" wrapText="0"/>
    </x:xf>
    <x:xf numFmtId="165" fontId="7" fillId="0" borderId="0" xfId="0" applyNumberFormat="1" applyFont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164" fontId="0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bottom" wrapText="0"/>
    </x:xf>
    <x:xf numFmtId="165" fontId="7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  <x:xf numFmtId="164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horizontal="center" vertical="bottom" wrapText="1"/>
    </x:xf>
    <x:xf numFmtId="164" fontId="0" fillId="0" borderId="0" xfId="0" applyNumberFormat="1" applyFont="1" applyFill="1" applyBorder="1" applyAlignment="1">
      <x:alignment horizontal="center" vertical="bottom" wrapText="1"/>
    </x:xf>
    <x:xf numFmtId="0" fontId="0" fillId="2" borderId="0" xfId="0" applyNumberFormat="1" applyFont="1" applyFill="1" applyBorder="1" applyAlignment="1">
      <x:alignment vertical="bottom" wrapText="1"/>
    </x:xf>
    <x:xf numFmtId="164" fontId="0" fillId="2" borderId="0" xfId="0" applyNumberFormat="1" applyFont="1" applyFill="1" applyBorder="1" applyAlignment="1">
      <x:alignment vertical="bottom" wrapText="1"/>
    </x:xf>
    <x:xf numFmtId="0" fontId="0" fillId="2" borderId="0" xfId="0" applyNumberFormat="1" applyFont="1" applyFill="1" applyBorder="1" applyAlignment="1">
      <x:alignment horizontal="center" vertical="bottom" wrapText="1"/>
    </x:xf>
    <x:xf numFmtId="164" fontId="0" fillId="2" borderId="0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e4aa602804125" /><Relationship Type="http://schemas.openxmlformats.org/officeDocument/2006/relationships/theme" Target="/xl/theme/theme1.xml" Id="R33537d529d2842b3" /><Relationship Type="http://schemas.openxmlformats.org/officeDocument/2006/relationships/sharedStrings" Target="/xl/sharedStrings.xml" Id="R673c882b82084d53" /><Relationship Type="http://schemas.openxmlformats.org/officeDocument/2006/relationships/worksheet" Target="/xl/worksheets/sheet1.xml" Id="R8cc69d55113d4d70" /><Relationship Type="http://schemas.openxmlformats.org/officeDocument/2006/relationships/worksheet" Target="/xl/worksheets/sheet2.xml" Id="Rd223e64d86a24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2.710000038146973" customWidth="1"/>
    <x:col min="2" max="2" width="21" hidden="0" customWidth="1"/>
    <x:col min="3" max="3" width="14.569999694824219" customWidth="1"/>
    <x:col min="4" max="4" width="8.859999656677246" customWidth="1"/>
    <x:col min="5" max="5" width="15" hidden="0" customWidth="1"/>
    <x:col min="6" max="6" width="24" hidden="0" customWidth="1"/>
    <x:col min="7" max="7" width="20" hidden="0" customWidth="1"/>
    <x:col min="8" max="8" width="16" hidden="0" customWidth="1"/>
    <x:col min="9" max="9" width="17" hidden="0" customWidth="1"/>
    <x:col min="10" max="10" width="19.860000610351562" customWidth="1"/>
    <x:col min="11" max="11" width="16.43000030517578" customWidth="1"/>
    <x:col min="12" max="12" width="13.289999961853027" customWidth="1"/>
    <x:col min="13" max="13" width="17.860000610351562" customWidth="1"/>
    <x:col min="14" max="14" width="15.289999961853027" customWidth="1"/>
    <x:col min="15" max="15" width="17.290000915527344" customWidth="1"/>
    <x:col min="16" max="16" width="22.290000915527344" customWidth="1"/>
    <x:col min="17" max="26" width="8.710000038146973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</x:row>
    <x:row r="2">
      <x:c r="A2" s="6" t="s">
        <x:v>16</x:v>
      </x:c>
      <x:c r="B2" s="6" t="s">
        <x:v>17</x:v>
      </x:c>
      <x:c r="C2" s="6" t="s">
        <x:v>18</x:v>
      </x:c>
      <x:c r="D2" s="6" t="e">
        <x:f t="shared" ref="D2:D51" si="1">DATEDIF(E2,TODAY(),"Y")</x:f>
        <x:v>J.getFullYear is not a function. (In 'J.getFullYear()', 'J.getFullYear' is undefined)</x:v>
      </x:c>
      <x:c r="E2" s="6" t="s">
        <x:v>19</x:v>
      </x:c>
      <x:c r="F2" s="6" t="s">
        <x:v>20</x:v>
      </x:c>
      <x:c r="G2" s="6" t="s">
        <x:v>21</x:v>
      </x:c>
      <x:c r="H2" s="7">
        <x:v>15600.0</x:v>
      </x:c>
      <x:c r="I2" s="7">
        <x:v>0.0</x:v>
      </x:c>
      <x:c r="J2" s="6" t="s">
        <x:v>22</x:v>
      </x:c>
      <x:c r="K2" s="6">
        <x:v>34.0</x:v>
      </x:c>
      <x:c r="L2" s="8" t="str">
        <x:f t="shared" ref="L2:L51" si="2">IF(K2&lt;=10,"Baixo",IF(K2&lt;=25,"Médio","Alto"))</x:f>
        <x:v>Alto</x:v>
      </x:c>
      <x:c r="M2" s="7">
        <x:v>16000.0</x:v>
      </x:c>
      <x:c r="N2" s="8" t="str">
        <x:f t="shared" ref="N2:N51" si="3">IF(AND(L2="Alto",J2="Sim"),"Negada","Passa")</x:f>
        <x:v>Negada</x:v>
      </x:c>
      <x:c r="O2" s="8" t="str">
        <x:f t="shared" ref="O2:O51" si="4">IF(AND(I2&gt;50000,J2="Sim"),"Negada","Passa")</x:f>
        <x:v>Passa</x:v>
      </x:c>
      <x:c r="P2" s="9" t="n">
        <x:f t="shared" ref="P2:P51" si="5">IF(OR(A2="Inativo", N2="Negada", O2="Negada"), 0, M2 * 1.08)</x:f>
        <x:v>0</x:v>
      </x:c>
    </x:row>
    <x:row r="3">
      <x:c r="A3" s="6" t="s">
        <x:v>23</x:v>
      </x:c>
      <x:c r="B3" s="6" t="s">
        <x:v>24</x:v>
      </x:c>
      <x:c r="C3" s="6" t="s">
        <x:v>25</x:v>
      </x:c>
      <x:c r="D3" s="6">
        <x:f t="shared" si="1"/>
        <x:v>24</x:v>
      </x:c>
      <x:c r="E3" s="6" t="s">
        <x:v>26</x:v>
      </x:c>
      <x:c r="F3" s="6" t="s">
        <x:v>27</x:v>
      </x:c>
      <x:c r="G3" s="6" t="s">
        <x:v>28</x:v>
      </x:c>
      <x:c r="H3" s="7">
        <x:v>11000.0</x:v>
      </x:c>
      <x:c r="I3" s="7">
        <x:v>76500.0</x:v>
      </x:c>
      <x:c r="J3" s="6" t="s">
        <x:v>22</x:v>
      </x:c>
      <x:c r="K3" s="6">
        <x:v>33.0</x:v>
      </x:c>
      <x:c r="L3" s="8" t="str">
        <x:f t="shared" si="2"/>
        <x:v>Alto</x:v>
      </x:c>
      <x:c r="M3" s="7">
        <x:v>26000.0</x:v>
      </x:c>
      <x:c r="N3" s="8" t="str">
        <x:f t="shared" si="3"/>
        <x:v>Negada</x:v>
      </x:c>
      <x:c r="O3" s="8" t="str">
        <x:f t="shared" si="4"/>
        <x:v>Negada</x:v>
      </x:c>
      <x:c r="P3" s="9">
        <x:f t="shared" si="5"/>
        <x:v>0</x:v>
      </x:c>
    </x:row>
    <x:row r="4">
      <x:c r="A4" s="6" t="s">
        <x:v>16</x:v>
      </x:c>
      <x:c r="B4" s="6" t="s">
        <x:v>29</x:v>
      </x:c>
      <x:c r="C4" s="6" t="s">
        <x:v>30</x:v>
      </x:c>
      <x:c r="D4" s="6">
        <x:f t="shared" si="1"/>
        <x:v>33</x:v>
      </x:c>
      <x:c r="E4" s="6" t="s">
        <x:v>31</x:v>
      </x:c>
      <x:c r="F4" s="6" t="s">
        <x:v>32</x:v>
      </x:c>
      <x:c r="G4" s="6" t="s">
        <x:v>33</x:v>
      </x:c>
      <x:c r="H4" s="7">
        <x:v>21500.0</x:v>
      </x:c>
      <x:c r="I4" s="7">
        <x:v>0.0</x:v>
      </x:c>
      <x:c r="J4" s="6" t="s">
        <x:v>34</x:v>
      </x:c>
      <x:c r="K4" s="6">
        <x:v>22.0</x:v>
      </x:c>
      <x:c r="L4" s="8" t="str">
        <x:f t="shared" si="2"/>
        <x:v>Médio</x:v>
      </x:c>
      <x:c r="M4" s="7">
        <x:v>51500.0</x:v>
      </x:c>
      <x:c r="N4" s="8" t="str">
        <x:f t="shared" si="3"/>
        <x:v>Passa</x:v>
      </x:c>
      <x:c r="O4" s="8" t="str">
        <x:f t="shared" si="4"/>
        <x:v>Passa</x:v>
      </x:c>
      <x:c r="P4" s="9">
        <x:f t="shared" si="5"/>
        <x:v>55620</x:v>
      </x:c>
    </x:row>
    <x:row r="5">
      <x:c r="A5" s="6" t="s">
        <x:v>16</x:v>
      </x:c>
      <x:c r="B5" s="6" t="s">
        <x:v>35</x:v>
      </x:c>
      <x:c r="C5" s="6" t="s">
        <x:v>36</x:v>
      </x:c>
      <x:c r="D5" s="6">
        <x:f t="shared" si="1"/>
        <x:v>63</x:v>
      </x:c>
      <x:c r="E5" s="6" t="s">
        <x:v>37</x:v>
      </x:c>
      <x:c r="F5" s="6" t="s">
        <x:v>38</x:v>
      </x:c>
      <x:c r="G5" s="6" t="s">
        <x:v>39</x:v>
      </x:c>
      <x:c r="H5" s="7">
        <x:v>10400.0</x:v>
      </x:c>
      <x:c r="I5" s="7">
        <x:v>8500.0</x:v>
      </x:c>
      <x:c r="J5" s="6" t="s">
        <x:v>34</x:v>
      </x:c>
      <x:c r="K5" s="6">
        <x:v>39.0</x:v>
      </x:c>
      <x:c r="L5" s="8" t="str">
        <x:f t="shared" si="2"/>
        <x:v>Alto</x:v>
      </x:c>
      <x:c r="M5" s="7">
        <x:v>36500.0</x:v>
      </x:c>
      <x:c r="N5" s="8" t="str">
        <x:f t="shared" si="3"/>
        <x:v>Passa</x:v>
      </x:c>
      <x:c r="O5" s="8" t="str">
        <x:f t="shared" si="4"/>
        <x:v>Passa</x:v>
      </x:c>
      <x:c r="P5" s="9">
        <x:f t="shared" si="5"/>
        <x:v>39420</x:v>
      </x:c>
    </x:row>
    <x:row r="6">
      <x:c r="A6" s="6" t="s">
        <x:v>16</x:v>
      </x:c>
      <x:c r="B6" s="6" t="s">
        <x:v>40</x:v>
      </x:c>
      <x:c r="C6" s="6" t="s">
        <x:v>41</x:v>
      </x:c>
      <x:c r="D6" s="6">
        <x:f t="shared" si="1"/>
        <x:v>32</x:v>
      </x:c>
      <x:c r="E6" s="6" t="s">
        <x:v>42</x:v>
      </x:c>
      <x:c r="F6" s="6" t="s">
        <x:v>20</x:v>
      </x:c>
      <x:c r="G6" s="6" t="s">
        <x:v>21</x:v>
      </x:c>
      <x:c r="H6" s="7">
        <x:v>30000.0</x:v>
      </x:c>
      <x:c r="I6" s="7">
        <x:v>0.0</x:v>
      </x:c>
      <x:c r="J6" s="6" t="s">
        <x:v>34</x:v>
      </x:c>
      <x:c r="K6" s="6">
        <x:v>5.0</x:v>
      </x:c>
      <x:c r="L6" s="8" t="str">
        <x:f t="shared" si="2"/>
        <x:v>Baixo</x:v>
      </x:c>
      <x:c r="M6" s="7">
        <x:v>65000.0</x:v>
      </x:c>
      <x:c r="N6" s="8" t="str">
        <x:f t="shared" si="3"/>
        <x:v>Passa</x:v>
      </x:c>
      <x:c r="O6" s="8" t="str">
        <x:f t="shared" si="4"/>
        <x:v>Passa</x:v>
      </x:c>
      <x:c r="P6" s="9">
        <x:f t="shared" si="5"/>
        <x:v>70200</x:v>
      </x:c>
    </x:row>
    <x:row r="7">
      <x:c r="A7" s="6" t="s">
        <x:v>16</x:v>
      </x:c>
      <x:c r="B7" s="6" t="s">
        <x:v>43</x:v>
      </x:c>
      <x:c r="C7" s="6" t="s">
        <x:v>44</x:v>
      </x:c>
      <x:c r="D7" s="6">
        <x:f t="shared" si="1"/>
        <x:v>48</x:v>
      </x:c>
      <x:c r="E7" s="6" t="s">
        <x:v>45</x:v>
      </x:c>
      <x:c r="F7" s="6" t="s">
        <x:v>46</x:v>
      </x:c>
      <x:c r="G7" s="6" t="s">
        <x:v>47</x:v>
      </x:c>
      <x:c r="H7" s="7">
        <x:v>13200.0</x:v>
      </x:c>
      <x:c r="I7" s="7">
        <x:v>3500.0</x:v>
      </x:c>
      <x:c r="J7" s="6" t="s">
        <x:v>34</x:v>
      </x:c>
      <x:c r="K7" s="6">
        <x:v>1.0</x:v>
      </x:c>
      <x:c r="L7" s="8" t="str">
        <x:f t="shared" si="2"/>
        <x:v>Baixo</x:v>
      </x:c>
      <x:c r="M7" s="7">
        <x:v>32500.0</x:v>
      </x:c>
      <x:c r="N7" s="8" t="str">
        <x:f t="shared" si="3"/>
        <x:v>Passa</x:v>
      </x:c>
      <x:c r="O7" s="8" t="str">
        <x:f t="shared" si="4"/>
        <x:v>Passa</x:v>
      </x:c>
      <x:c r="P7" s="9">
        <x:f t="shared" si="5"/>
        <x:v>35100</x:v>
      </x:c>
    </x:row>
    <x:row r="8">
      <x:c r="A8" s="6" t="s">
        <x:v>16</x:v>
      </x:c>
      <x:c r="B8" s="6" t="s">
        <x:v>48</x:v>
      </x:c>
      <x:c r="C8" s="6" t="s">
        <x:v>49</x:v>
      </x:c>
      <x:c r="D8" s="6">
        <x:f t="shared" si="1"/>
        <x:v>28</x:v>
      </x:c>
      <x:c r="E8" s="6" t="s">
        <x:v>50</x:v>
      </x:c>
      <x:c r="F8" s="6" t="s">
        <x:v>46</x:v>
      </x:c>
      <x:c r="G8" s="6" t="s">
        <x:v>47</x:v>
      </x:c>
      <x:c r="H8" s="7">
        <x:v>8600.0</x:v>
      </x:c>
      <x:c r="I8" s="7">
        <x:v>19000.0</x:v>
      </x:c>
      <x:c r="J8" s="6" t="s">
        <x:v>22</x:v>
      </x:c>
      <x:c r="K8" s="6">
        <x:v>4.0</x:v>
      </x:c>
      <x:c r="L8" s="8" t="str">
        <x:f t="shared" si="2"/>
        <x:v>Baixo</x:v>
      </x:c>
      <x:c r="M8" s="7">
        <x:v>32500.0</x:v>
      </x:c>
      <x:c r="N8" s="8" t="str">
        <x:f t="shared" si="3"/>
        <x:v>Passa</x:v>
      </x:c>
      <x:c r="O8" s="8" t="str">
        <x:f t="shared" si="4"/>
        <x:v>Passa</x:v>
      </x:c>
      <x:c r="P8" s="9">
        <x:f t="shared" si="5"/>
        <x:v>35100</x:v>
      </x:c>
    </x:row>
    <x:row r="9">
      <x:c r="A9" s="6" t="s">
        <x:v>23</x:v>
      </x:c>
      <x:c r="B9" s="6" t="s">
        <x:v>51</x:v>
      </x:c>
      <x:c r="C9" s="6" t="s">
        <x:v>52</x:v>
      </x:c>
      <x:c r="D9" s="6">
        <x:f t="shared" si="1"/>
        <x:v>42</x:v>
      </x:c>
      <x:c r="E9" s="6" t="s">
        <x:v>53</x:v>
      </x:c>
      <x:c r="F9" s="6" t="s">
        <x:v>38</x:v>
      </x:c>
      <x:c r="G9" s="6" t="s">
        <x:v>39</x:v>
      </x:c>
      <x:c r="H9" s="7">
        <x:v>18200.0</x:v>
      </x:c>
      <x:c r="I9" s="7">
        <x:v>31000.0</x:v>
      </x:c>
      <x:c r="J9" s="6" t="s">
        <x:v>34</x:v>
      </x:c>
      <x:c r="K9" s="6">
        <x:v>19.0</x:v>
      </x:c>
      <x:c r="L9" s="8" t="str">
        <x:f t="shared" si="2"/>
        <x:v>Médio</x:v>
      </x:c>
      <x:c r="M9" s="7">
        <x:v>63500.0</x:v>
      </x:c>
      <x:c r="N9" s="8" t="str">
        <x:f t="shared" si="3"/>
        <x:v>Passa</x:v>
      </x:c>
      <x:c r="O9" s="8" t="str">
        <x:f t="shared" si="4"/>
        <x:v>Passa</x:v>
      </x:c>
      <x:c r="P9" s="9">
        <x:f t="shared" si="5"/>
        <x:v>0</x:v>
      </x:c>
    </x:row>
    <x:row r="10">
      <x:c r="A10" s="6" t="s">
        <x:v>16</x:v>
      </x:c>
      <x:c r="B10" s="6" t="s">
        <x:v>54</x:v>
      </x:c>
      <x:c r="C10" s="6" t="s">
        <x:v>55</x:v>
      </x:c>
      <x:c r="D10" s="6">
        <x:f t="shared" si="1"/>
        <x:v>34</x:v>
      </x:c>
      <x:c r="E10" s="6" t="s">
        <x:v>56</x:v>
      </x:c>
      <x:c r="F10" s="6" t="s">
        <x:v>38</x:v>
      </x:c>
      <x:c r="G10" s="6" t="s">
        <x:v>39</x:v>
      </x:c>
      <x:c r="H10" s="7">
        <x:v>8000.0</x:v>
      </x:c>
      <x:c r="I10" s="7">
        <x:v>14500.0</x:v>
      </x:c>
      <x:c r="J10" s="6" t="s">
        <x:v>22</x:v>
      </x:c>
      <x:c r="K10" s="6">
        <x:v>9.0</x:v>
      </x:c>
      <x:c r="L10" s="8" t="str">
        <x:f t="shared" si="2"/>
        <x:v>Baixo</x:v>
      </x:c>
      <x:c r="M10" s="7">
        <x:v>17500.0</x:v>
      </x:c>
      <x:c r="N10" s="8" t="str">
        <x:f t="shared" si="3"/>
        <x:v>Passa</x:v>
      </x:c>
      <x:c r="O10" s="8" t="str">
        <x:f t="shared" si="4"/>
        <x:v>Passa</x:v>
      </x:c>
      <x:c r="P10" s="9">
        <x:f t="shared" si="5"/>
        <x:v>18900</x:v>
      </x:c>
    </x:row>
    <x:row r="11">
      <x:c r="A11" s="6" t="s">
        <x:v>23</x:v>
      </x:c>
      <x:c r="B11" s="6" t="s">
        <x:v>57</x:v>
      </x:c>
      <x:c r="C11" s="6" t="s">
        <x:v>58</x:v>
      </x:c>
      <x:c r="D11" s="6">
        <x:f t="shared" si="1"/>
        <x:v>61</x:v>
      </x:c>
      <x:c r="E11" s="6" t="s">
        <x:v>59</x:v>
      </x:c>
      <x:c r="F11" s="6" t="s">
        <x:v>60</x:v>
      </x:c>
      <x:c r="G11" s="6" t="s">
        <x:v>61</x:v>
      </x:c>
      <x:c r="H11" s="7">
        <x:v>23000.0</x:v>
      </x:c>
      <x:c r="I11" s="7">
        <x:v>44500.0</x:v>
      </x:c>
      <x:c r="J11" s="6" t="s">
        <x:v>22</x:v>
      </x:c>
      <x:c r="K11" s="6">
        <x:v>32.0</x:v>
      </x:c>
      <x:c r="L11" s="8" t="str">
        <x:f t="shared" si="2"/>
        <x:v>Alto</x:v>
      </x:c>
      <x:c r="M11" s="7">
        <x:v>2000.0</x:v>
      </x:c>
      <x:c r="N11" s="8" t="str">
        <x:f t="shared" si="3"/>
        <x:v>Negada</x:v>
      </x:c>
      <x:c r="O11" s="8" t="str">
        <x:f t="shared" si="4"/>
        <x:v>Passa</x:v>
      </x:c>
      <x:c r="P11" s="9">
        <x:f t="shared" si="5"/>
        <x:v>0</x:v>
      </x:c>
    </x:row>
    <x:row r="12">
      <x:c r="A12" s="6" t="s">
        <x:v>16</x:v>
      </x:c>
      <x:c r="B12" s="6" t="s">
        <x:v>62</x:v>
      </x:c>
      <x:c r="C12" s="6" t="s">
        <x:v>63</x:v>
      </x:c>
      <x:c r="D12" s="6">
        <x:f t="shared" si="1"/>
        <x:v>33</x:v>
      </x:c>
      <x:c r="E12" s="6" t="s">
        <x:v>64</x:v>
      </x:c>
      <x:c r="F12" s="6" t="s">
        <x:v>60</x:v>
      </x:c>
      <x:c r="G12" s="6" t="s">
        <x:v>61</x:v>
      </x:c>
      <x:c r="H12" s="7">
        <x:v>28700.0</x:v>
      </x:c>
      <x:c r="I12" s="7">
        <x:v>12500.0</x:v>
      </x:c>
      <x:c r="J12" s="6" t="s">
        <x:v>34</x:v>
      </x:c>
      <x:c r="K12" s="6">
        <x:v>41.0</x:v>
      </x:c>
      <x:c r="L12" s="8" t="str">
        <x:f t="shared" si="2"/>
        <x:v>Alto</x:v>
      </x:c>
      <x:c r="M12" s="7">
        <x:v>99500.0</x:v>
      </x:c>
      <x:c r="N12" s="8" t="str">
        <x:f t="shared" si="3"/>
        <x:v>Passa</x:v>
      </x:c>
      <x:c r="O12" s="8" t="str">
        <x:f t="shared" si="4"/>
        <x:v>Passa</x:v>
      </x:c>
      <x:c r="P12" s="9">
        <x:f t="shared" si="5"/>
        <x:v>107460</x:v>
      </x:c>
    </x:row>
    <x:row r="13">
      <x:c r="A13" s="6" t="s">
        <x:v>16</x:v>
      </x:c>
      <x:c r="B13" s="6" t="s">
        <x:v>65</x:v>
      </x:c>
      <x:c r="C13" s="6" t="s">
        <x:v>66</x:v>
      </x:c>
      <x:c r="D13" s="6">
        <x:f t="shared" si="1"/>
        <x:v>70</x:v>
      </x:c>
      <x:c r="E13" s="6" t="s">
        <x:v>67</x:v>
      </x:c>
      <x:c r="F13" s="6" t="s">
        <x:v>68</x:v>
      </x:c>
      <x:c r="G13" s="6" t="s">
        <x:v>61</x:v>
      </x:c>
      <x:c r="H13" s="7">
        <x:v>19500.0</x:v>
      </x:c>
      <x:c r="I13" s="7">
        <x:v>62000.0</x:v>
      </x:c>
      <x:c r="J13" s="6" t="s">
        <x:v>22</x:v>
      </x:c>
      <x:c r="K13" s="6">
        <x:v>45.0</x:v>
      </x:c>
      <x:c r="L13" s="8" t="str">
        <x:f t="shared" si="2"/>
        <x:v>Alto</x:v>
      </x:c>
      <x:c r="M13" s="7">
        <x:v>35500.0</x:v>
      </x:c>
      <x:c r="N13" s="8" t="str">
        <x:f t="shared" si="3"/>
        <x:v>Negada</x:v>
      </x:c>
      <x:c r="O13" s="8" t="str">
        <x:f t="shared" si="4"/>
        <x:v>Negada</x:v>
      </x:c>
      <x:c r="P13" s="9">
        <x:f t="shared" si="5"/>
        <x:v>0</x:v>
      </x:c>
    </x:row>
    <x:row r="14">
      <x:c r="A14" s="6" t="s">
        <x:v>16</x:v>
      </x:c>
      <x:c r="B14" s="6" t="s">
        <x:v>69</x:v>
      </x:c>
      <x:c r="C14" s="6" t="s">
        <x:v>70</x:v>
      </x:c>
      <x:c r="D14" s="6">
        <x:f t="shared" si="1"/>
        <x:v>54</x:v>
      </x:c>
      <x:c r="E14" s="6" t="s">
        <x:v>71</x:v>
      </x:c>
      <x:c r="F14" s="6" t="s">
        <x:v>27</x:v>
      </x:c>
      <x:c r="G14" s="6" t="s">
        <x:v>28</x:v>
      </x:c>
      <x:c r="H14" s="7">
        <x:v>22100.0</x:v>
      </x:c>
      <x:c r="I14" s="7">
        <x:v>37000.0</x:v>
      </x:c>
      <x:c r="J14" s="6" t="s">
        <x:v>34</x:v>
      </x:c>
      <x:c r="K14" s="6">
        <x:v>34.0</x:v>
      </x:c>
      <x:c r="L14" s="8" t="str">
        <x:f t="shared" si="2"/>
        <x:v>Alto</x:v>
      </x:c>
      <x:c r="M14" s="7">
        <x:v>87000.0</x:v>
      </x:c>
      <x:c r="N14" s="8" t="str">
        <x:f t="shared" si="3"/>
        <x:v>Passa</x:v>
      </x:c>
      <x:c r="O14" s="8" t="str">
        <x:f t="shared" si="4"/>
        <x:v>Passa</x:v>
      </x:c>
      <x:c r="P14" s="9">
        <x:f t="shared" si="5"/>
        <x:v>93960</x:v>
      </x:c>
    </x:row>
    <x:row r="15">
      <x:c r="A15" s="6" t="s">
        <x:v>16</x:v>
      </x:c>
      <x:c r="B15" s="6" t="s">
        <x:v>72</x:v>
      </x:c>
      <x:c r="C15" s="6" t="s">
        <x:v>73</x:v>
      </x:c>
      <x:c r="D15" s="6">
        <x:f t="shared" si="1"/>
        <x:v>38</x:v>
      </x:c>
      <x:c r="E15" s="6" t="s">
        <x:v>74</x:v>
      </x:c>
      <x:c r="F15" s="6" t="s">
        <x:v>38</x:v>
      </x:c>
      <x:c r="G15" s="6" t="s">
        <x:v>39</x:v>
      </x:c>
      <x:c r="H15" s="7">
        <x:v>17600.0</x:v>
      </x:c>
      <x:c r="I15" s="7">
        <x:v>0.0</x:v>
      </x:c>
      <x:c r="J15" s="6" t="s">
        <x:v>22</x:v>
      </x:c>
      <x:c r="K15" s="6">
        <x:v>31.0</x:v>
      </x:c>
      <x:c r="L15" s="8" t="str">
        <x:f t="shared" si="2"/>
        <x:v>Alto</x:v>
      </x:c>
      <x:c r="M15" s="7">
        <x:v>47500.0</x:v>
      </x:c>
      <x:c r="N15" s="8" t="str">
        <x:f t="shared" si="3"/>
        <x:v>Negada</x:v>
      </x:c>
      <x:c r="O15" s="8" t="str">
        <x:f t="shared" si="4"/>
        <x:v>Passa</x:v>
      </x:c>
      <x:c r="P15" s="9">
        <x:f t="shared" si="5"/>
        <x:v>0</x:v>
      </x:c>
    </x:row>
    <x:row r="16">
      <x:c r="A16" s="6" t="s">
        <x:v>23</x:v>
      </x:c>
      <x:c r="B16" s="6" t="s">
        <x:v>75</x:v>
      </x:c>
      <x:c r="C16" s="6" t="s">
        <x:v>76</x:v>
      </x:c>
      <x:c r="D16" s="6">
        <x:f t="shared" si="1"/>
        <x:v>55</x:v>
      </x:c>
      <x:c r="E16" s="6" t="s">
        <x:v>77</x:v>
      </x:c>
      <x:c r="F16" s="6" t="s">
        <x:v>27</x:v>
      </x:c>
      <x:c r="G16" s="6" t="s">
        <x:v>28</x:v>
      </x:c>
      <x:c r="H16" s="7">
        <x:v>5300.0</x:v>
      </x:c>
      <x:c r="I16" s="7">
        <x:v>6500.0</x:v>
      </x:c>
      <x:c r="J16" s="6" t="s">
        <x:v>34</x:v>
      </x:c>
      <x:c r="K16" s="6">
        <x:v>42.0</x:v>
      </x:c>
      <x:c r="L16" s="8" t="str">
        <x:f t="shared" si="2"/>
        <x:v>Alto</x:v>
      </x:c>
      <x:c r="M16" s="7">
        <x:v>96000.0</x:v>
      </x:c>
      <x:c r="N16" s="8" t="str">
        <x:f t="shared" si="3"/>
        <x:v>Passa</x:v>
      </x:c>
      <x:c r="O16" s="8" t="str">
        <x:f t="shared" si="4"/>
        <x:v>Passa</x:v>
      </x:c>
      <x:c r="P16" s="9">
        <x:f t="shared" si="5"/>
        <x:v>0</x:v>
      </x:c>
    </x:row>
    <x:row r="17">
      <x:c r="A17" s="6" t="s">
        <x:v>23</x:v>
      </x:c>
      <x:c r="B17" s="6" t="s">
        <x:v>78</x:v>
      </x:c>
      <x:c r="C17" s="6" t="s">
        <x:v>79</x:v>
      </x:c>
      <x:c r="D17" s="6">
        <x:f t="shared" si="1"/>
        <x:v>47</x:v>
      </x:c>
      <x:c r="E17" s="6" t="s">
        <x:v>80</x:v>
      </x:c>
      <x:c r="F17" s="6" t="s">
        <x:v>81</x:v>
      </x:c>
      <x:c r="G17" s="6" t="s">
        <x:v>82</x:v>
      </x:c>
      <x:c r="H17" s="7">
        <x:v>13300.0</x:v>
      </x:c>
      <x:c r="I17" s="7">
        <x:v>1000.0</x:v>
      </x:c>
      <x:c r="J17" s="6" t="s">
        <x:v>22</x:v>
      </x:c>
      <x:c r="K17" s="6">
        <x:v>24.0</x:v>
      </x:c>
      <x:c r="L17" s="8" t="str">
        <x:f t="shared" si="2"/>
        <x:v>Médio</x:v>
      </x:c>
      <x:c r="M17" s="7">
        <x:v>61500.0</x:v>
      </x:c>
      <x:c r="N17" s="8" t="str">
        <x:f t="shared" si="3"/>
        <x:v>Passa</x:v>
      </x:c>
      <x:c r="O17" s="8" t="str">
        <x:f t="shared" si="4"/>
        <x:v>Passa</x:v>
      </x:c>
      <x:c r="P17" s="9">
        <x:f t="shared" si="5"/>
        <x:v>0</x:v>
      </x:c>
    </x:row>
    <x:row r="18">
      <x:c r="A18" s="6" t="s">
        <x:v>23</x:v>
      </x:c>
      <x:c r="B18" s="6" t="s">
        <x:v>83</x:v>
      </x:c>
      <x:c r="C18" s="6" t="s">
        <x:v>84</x:v>
      </x:c>
      <x:c r="D18" s="6">
        <x:f t="shared" si="1"/>
        <x:v>43</x:v>
      </x:c>
      <x:c r="E18" s="6" t="s">
        <x:v>85</x:v>
      </x:c>
      <x:c r="F18" s="6" t="s">
        <x:v>86</x:v>
      </x:c>
      <x:c r="G18" s="6" t="s">
        <x:v>87</x:v>
      </x:c>
      <x:c r="H18" s="7">
        <x:v>7100.0</x:v>
      </x:c>
      <x:c r="I18" s="7">
        <x:v>5500.0</x:v>
      </x:c>
      <x:c r="J18" s="6" t="s">
        <x:v>34</x:v>
      </x:c>
      <x:c r="K18" s="6">
        <x:v>23.0</x:v>
      </x:c>
      <x:c r="L18" s="8" t="str">
        <x:f t="shared" si="2"/>
        <x:v>Médio</x:v>
      </x:c>
      <x:c r="M18" s="7">
        <x:v>67000.0</x:v>
      </x:c>
      <x:c r="N18" s="8" t="str">
        <x:f t="shared" si="3"/>
        <x:v>Passa</x:v>
      </x:c>
      <x:c r="O18" s="8" t="str">
        <x:f t="shared" si="4"/>
        <x:v>Passa</x:v>
      </x:c>
      <x:c r="P18" s="9">
        <x:f t="shared" si="5"/>
        <x:v>0</x:v>
      </x:c>
    </x:row>
    <x:row r="19">
      <x:c r="A19" s="6" t="s">
        <x:v>16</x:v>
      </x:c>
      <x:c r="B19" s="6" t="s">
        <x:v>88</x:v>
      </x:c>
      <x:c r="C19" s="6" t="s">
        <x:v>89</x:v>
      </x:c>
      <x:c r="D19" s="6">
        <x:f t="shared" si="1"/>
        <x:v>32</x:v>
      </x:c>
      <x:c r="E19" s="6" t="s">
        <x:v>90</x:v>
      </x:c>
      <x:c r="F19" s="6" t="s">
        <x:v>81</x:v>
      </x:c>
      <x:c r="G19" s="6" t="s">
        <x:v>82</x:v>
      </x:c>
      <x:c r="H19" s="7">
        <x:v>21300.0</x:v>
      </x:c>
      <x:c r="I19" s="7">
        <x:v>48000.0</x:v>
      </x:c>
      <x:c r="J19" s="6" t="s">
        <x:v>34</x:v>
      </x:c>
      <x:c r="K19" s="6">
        <x:v>11.0</x:v>
      </x:c>
      <x:c r="L19" s="8" t="str">
        <x:f t="shared" si="2"/>
        <x:v>Médio</x:v>
      </x:c>
      <x:c r="M19" s="7">
        <x:v>35000.0</x:v>
      </x:c>
      <x:c r="N19" s="8" t="str">
        <x:f t="shared" si="3"/>
        <x:v>Passa</x:v>
      </x:c>
      <x:c r="O19" s="8" t="str">
        <x:f t="shared" si="4"/>
        <x:v>Passa</x:v>
      </x:c>
      <x:c r="P19" s="9">
        <x:f t="shared" si="5"/>
        <x:v>37800</x:v>
      </x:c>
    </x:row>
    <x:row r="20">
      <x:c r="A20" s="6" t="s">
        <x:v>16</x:v>
      </x:c>
      <x:c r="B20" s="6" t="s">
        <x:v>91</x:v>
      </x:c>
      <x:c r="C20" s="6" t="s">
        <x:v>92</x:v>
      </x:c>
      <x:c r="D20" s="6">
        <x:f t="shared" si="1"/>
        <x:v>25</x:v>
      </x:c>
      <x:c r="E20" s="6" t="s">
        <x:v>93</x:v>
      </x:c>
      <x:c r="F20" s="6" t="s">
        <x:v>94</x:v>
      </x:c>
      <x:c r="G20" s="6" t="s">
        <x:v>95</x:v>
      </x:c>
      <x:c r="H20" s="7">
        <x:v>9400.0</x:v>
      </x:c>
      <x:c r="I20" s="7">
        <x:v>51500.0</x:v>
      </x:c>
      <x:c r="J20" s="6" t="s">
        <x:v>34</x:v>
      </x:c>
      <x:c r="K20" s="6">
        <x:v>14.0</x:v>
      </x:c>
      <x:c r="L20" s="8" t="str">
        <x:f t="shared" si="2"/>
        <x:v>Médio</x:v>
      </x:c>
      <x:c r="M20" s="7">
        <x:v>29500.0</x:v>
      </x:c>
      <x:c r="N20" s="8" t="str">
        <x:f t="shared" si="3"/>
        <x:v>Passa</x:v>
      </x:c>
      <x:c r="O20" s="8" t="str">
        <x:f t="shared" si="4"/>
        <x:v>Passa</x:v>
      </x:c>
      <x:c r="P20" s="9">
        <x:f t="shared" si="5"/>
        <x:v>31860</x:v>
      </x:c>
    </x:row>
    <x:row r="21" ht="15.75" customHeight="1">
      <x:c r="A21" s="6" t="s">
        <x:v>16</x:v>
      </x:c>
      <x:c r="B21" s="6" t="s">
        <x:v>96</x:v>
      </x:c>
      <x:c r="C21" s="6" t="s">
        <x:v>97</x:v>
      </x:c>
      <x:c r="D21" s="6">
        <x:f t="shared" si="1"/>
        <x:v>23</x:v>
      </x:c>
      <x:c r="E21" s="6" t="s">
        <x:v>98</x:v>
      </x:c>
      <x:c r="F21" s="6" t="s">
        <x:v>81</x:v>
      </x:c>
      <x:c r="G21" s="6" t="s">
        <x:v>82</x:v>
      </x:c>
      <x:c r="H21" s="7">
        <x:v>0.0</x:v>
      </x:c>
      <x:c r="I21" s="7">
        <x:v>69000.0</x:v>
      </x:c>
      <x:c r="J21" s="6" t="s">
        <x:v>34</x:v>
      </x:c>
      <x:c r="K21" s="6">
        <x:v>20.0</x:v>
      </x:c>
      <x:c r="L21" s="8" t="str">
        <x:f t="shared" si="2"/>
        <x:v>Médio</x:v>
      </x:c>
      <x:c r="M21" s="7">
        <x:v>69000.0</x:v>
      </x:c>
      <x:c r="N21" s="8" t="str">
        <x:f t="shared" si="3"/>
        <x:v>Passa</x:v>
      </x:c>
      <x:c r="O21" s="8" t="str">
        <x:f t="shared" si="4"/>
        <x:v>Passa</x:v>
      </x:c>
      <x:c r="P21" s="9">
        <x:f t="shared" si="5"/>
        <x:v>74520</x:v>
      </x:c>
    </x:row>
    <x:row r="22" ht="15.75" customHeight="1">
      <x:c r="A22" s="6" t="s">
        <x:v>23</x:v>
      </x:c>
      <x:c r="B22" s="6" t="s">
        <x:v>99</x:v>
      </x:c>
      <x:c r="C22" s="6" t="s">
        <x:v>100</x:v>
      </x:c>
      <x:c r="D22" s="6">
        <x:f t="shared" si="1"/>
        <x:v>53</x:v>
      </x:c>
      <x:c r="E22" s="6" t="s">
        <x:v>101</x:v>
      </x:c>
      <x:c r="F22" s="6" t="s">
        <x:v>102</x:v>
      </x:c>
      <x:c r="G22" s="6" t="s">
        <x:v>87</x:v>
      </x:c>
      <x:c r="H22" s="7">
        <x:v>16500.0</x:v>
      </x:c>
      <x:c r="I22" s="7">
        <x:v>4000.0</x:v>
      </x:c>
      <x:c r="J22" s="6" t="s">
        <x:v>34</x:v>
      </x:c>
      <x:c r="K22" s="6">
        <x:v>14.0</x:v>
      </x:c>
      <x:c r="L22" s="8" t="str">
        <x:f t="shared" si="2"/>
        <x:v>Médio</x:v>
      </x:c>
      <x:c r="M22" s="7">
        <x:v>36000.0</x:v>
      </x:c>
      <x:c r="N22" s="8" t="str">
        <x:f t="shared" si="3"/>
        <x:v>Passa</x:v>
      </x:c>
      <x:c r="O22" s="8" t="str">
        <x:f t="shared" si="4"/>
        <x:v>Passa</x:v>
      </x:c>
      <x:c r="P22" s="9">
        <x:f t="shared" si="5"/>
        <x:v>0</x:v>
      </x:c>
    </x:row>
    <x:row r="23" ht="15.75" customHeight="1">
      <x:c r="A23" s="6" t="s">
        <x:v>16</x:v>
      </x:c>
      <x:c r="B23" s="6" t="s">
        <x:v>103</x:v>
      </x:c>
      <x:c r="C23" s="6" t="s">
        <x:v>104</x:v>
      </x:c>
      <x:c r="D23" s="6">
        <x:f t="shared" si="1"/>
        <x:v>68</x:v>
      </x:c>
      <x:c r="E23" s="6" t="s">
        <x:v>105</x:v>
      </x:c>
      <x:c r="F23" s="6" t="s">
        <x:v>60</x:v>
      </x:c>
      <x:c r="G23" s="6" t="s">
        <x:v>61</x:v>
      </x:c>
      <x:c r="H23" s="7">
        <x:v>14300.0</x:v>
      </x:c>
      <x:c r="I23" s="7">
        <x:v>32500.0</x:v>
      </x:c>
      <x:c r="J23" s="6" t="s">
        <x:v>22</x:v>
      </x:c>
      <x:c r="K23" s="6">
        <x:v>15.0</x:v>
      </x:c>
      <x:c r="L23" s="8" t="str">
        <x:f t="shared" si="2"/>
        <x:v>Médio</x:v>
      </x:c>
      <x:c r="M23" s="7">
        <x:v>8000.0</x:v>
      </x:c>
      <x:c r="N23" s="8" t="str">
        <x:f t="shared" si="3"/>
        <x:v>Passa</x:v>
      </x:c>
      <x:c r="O23" s="8" t="str">
        <x:f t="shared" si="4"/>
        <x:v>Passa</x:v>
      </x:c>
      <x:c r="P23" s="9">
        <x:f t="shared" si="5"/>
        <x:v>8640</x:v>
      </x:c>
    </x:row>
    <x:row r="24" ht="15.75" customHeight="1">
      <x:c r="A24" s="6" t="s">
        <x:v>23</x:v>
      </x:c>
      <x:c r="B24" s="6" t="s">
        <x:v>106</x:v>
      </x:c>
      <x:c r="C24" s="6" t="s">
        <x:v>107</x:v>
      </x:c>
      <x:c r="D24" s="6">
        <x:f t="shared" si="1"/>
        <x:v>33</x:v>
      </x:c>
      <x:c r="E24" s="6" t="s">
        <x:v>108</x:v>
      </x:c>
      <x:c r="F24" s="6" t="s">
        <x:v>60</x:v>
      </x:c>
      <x:c r="G24" s="6" t="s">
        <x:v>61</x:v>
      </x:c>
      <x:c r="H24" s="7">
        <x:v>23600.0</x:v>
      </x:c>
      <x:c r="I24" s="7">
        <x:v>75500.0</x:v>
      </x:c>
      <x:c r="J24" s="6" t="s">
        <x:v>34</x:v>
      </x:c>
      <x:c r="K24" s="6">
        <x:v>16.0</x:v>
      </x:c>
      <x:c r="L24" s="8" t="str">
        <x:f t="shared" si="2"/>
        <x:v>Médio</x:v>
      </x:c>
      <x:c r="M24" s="7">
        <x:v>88000.0</x:v>
      </x:c>
      <x:c r="N24" s="8" t="str">
        <x:f t="shared" si="3"/>
        <x:v>Passa</x:v>
      </x:c>
      <x:c r="O24" s="8" t="str">
        <x:f t="shared" si="4"/>
        <x:v>Passa</x:v>
      </x:c>
      <x:c r="P24" s="9">
        <x:f t="shared" si="5"/>
        <x:v>0</x:v>
      </x:c>
    </x:row>
    <x:row r="25" ht="15.75" customHeight="1">
      <x:c r="A25" s="6" t="s">
        <x:v>16</x:v>
      </x:c>
      <x:c r="B25" s="6" t="s">
        <x:v>109</x:v>
      </x:c>
      <x:c r="C25" s="6" t="s">
        <x:v>110</x:v>
      </x:c>
      <x:c r="D25" s="6">
        <x:f t="shared" si="1"/>
        <x:v>68</x:v>
      </x:c>
      <x:c r="E25" s="6" t="s">
        <x:v>111</x:v>
      </x:c>
      <x:c r="F25" s="6" t="s">
        <x:v>112</x:v>
      </x:c>
      <x:c r="G25" s="6" t="s">
        <x:v>87</x:v>
      </x:c>
      <x:c r="H25" s="7">
        <x:v>29000.0</x:v>
      </x:c>
      <x:c r="I25" s="7">
        <x:v>67500.0</x:v>
      </x:c>
      <x:c r="J25" s="6" t="s">
        <x:v>34</x:v>
      </x:c>
      <x:c r="K25" s="6">
        <x:v>25.0</x:v>
      </x:c>
      <x:c r="L25" s="8" t="str">
        <x:f t="shared" si="2"/>
        <x:v>Médio</x:v>
      </x:c>
      <x:c r="M25" s="7">
        <x:v>18000.0</x:v>
      </x:c>
      <x:c r="N25" s="8" t="str">
        <x:f t="shared" si="3"/>
        <x:v>Passa</x:v>
      </x:c>
      <x:c r="O25" s="8" t="str">
        <x:f t="shared" si="4"/>
        <x:v>Passa</x:v>
      </x:c>
      <x:c r="P25" s="9">
        <x:f t="shared" si="5"/>
        <x:v>19440</x:v>
      </x:c>
    </x:row>
    <x:row r="26" ht="15.75" customHeight="1">
      <x:c r="A26" s="6" t="s">
        <x:v>23</x:v>
      </x:c>
      <x:c r="B26" s="6" t="s">
        <x:v>113</x:v>
      </x:c>
      <x:c r="C26" s="6" t="s">
        <x:v>114</x:v>
      </x:c>
      <x:c r="D26" s="6">
        <x:f t="shared" si="1"/>
        <x:v>63</x:v>
      </x:c>
      <x:c r="E26" s="6" t="s">
        <x:v>115</x:v>
      </x:c>
      <x:c r="F26" s="6" t="s">
        <x:v>32</x:v>
      </x:c>
      <x:c r="G26" s="6" t="s">
        <x:v>33</x:v>
      </x:c>
      <x:c r="H26" s="7">
        <x:v>0.0</x:v>
      </x:c>
      <x:c r="I26" s="7">
        <x:v>0.0</x:v>
      </x:c>
      <x:c r="J26" s="6" t="s">
        <x:v>22</x:v>
      </x:c>
      <x:c r="K26" s="6">
        <x:v>1.0</x:v>
      </x:c>
      <x:c r="L26" s="8" t="str">
        <x:f t="shared" si="2"/>
        <x:v>Baixo</x:v>
      </x:c>
      <x:c r="M26" s="7">
        <x:v>12000.0</x:v>
      </x:c>
      <x:c r="N26" s="8" t="str">
        <x:f t="shared" si="3"/>
        <x:v>Passa</x:v>
      </x:c>
      <x:c r="O26" s="8" t="str">
        <x:f t="shared" si="4"/>
        <x:v>Passa</x:v>
      </x:c>
      <x:c r="P26" s="9">
        <x:f t="shared" si="5"/>
        <x:v>0</x:v>
      </x:c>
    </x:row>
    <x:row r="27" ht="15.75" customHeight="1">
      <x:c r="A27" s="6" t="s">
        <x:v>16</x:v>
      </x:c>
      <x:c r="B27" s="6" t="s">
        <x:v>116</x:v>
      </x:c>
      <x:c r="C27" s="6" t="s">
        <x:v>117</x:v>
      </x:c>
      <x:c r="D27" s="6">
        <x:f t="shared" si="1"/>
        <x:v>58</x:v>
      </x:c>
      <x:c r="E27" s="6" t="s">
        <x:v>118</x:v>
      </x:c>
      <x:c r="F27" s="6" t="s">
        <x:v>119</x:v>
      </x:c>
      <x:c r="G27" s="6" t="s">
        <x:v>82</x:v>
      </x:c>
      <x:c r="H27" s="7">
        <x:v>25400.0</x:v>
      </x:c>
      <x:c r="I27" s="7">
        <x:v>70500.0</x:v>
      </x:c>
      <x:c r="J27" s="6" t="s">
        <x:v>22</x:v>
      </x:c>
      <x:c r="K27" s="6">
        <x:v>11.0</x:v>
      </x:c>
      <x:c r="L27" s="8" t="str">
        <x:f t="shared" si="2"/>
        <x:v>Médio</x:v>
      </x:c>
      <x:c r="M27" s="7">
        <x:v>47000.0</x:v>
      </x:c>
      <x:c r="N27" s="8" t="str">
        <x:f t="shared" si="3"/>
        <x:v>Passa</x:v>
      </x:c>
      <x:c r="O27" s="8" t="str">
        <x:f t="shared" si="4"/>
        <x:v>Negada</x:v>
      </x:c>
      <x:c r="P27" s="9">
        <x:f t="shared" si="5"/>
        <x:v>0</x:v>
      </x:c>
    </x:row>
    <x:row r="28" ht="15.75" customHeight="1">
      <x:c r="A28" s="6" t="s">
        <x:v>16</x:v>
      </x:c>
      <x:c r="B28" s="6" t="s">
        <x:v>40</x:v>
      </x:c>
      <x:c r="C28" s="6" t="s">
        <x:v>120</x:v>
      </x:c>
      <x:c r="D28" s="6">
        <x:f t="shared" si="1"/>
        <x:v>48</x:v>
      </x:c>
      <x:c r="E28" s="6" t="s">
        <x:v>121</x:v>
      </x:c>
      <x:c r="F28" s="6" t="s">
        <x:v>122</x:v>
      </x:c>
      <x:c r="G28" s="6" t="s">
        <x:v>87</x:v>
      </x:c>
      <x:c r="H28" s="7">
        <x:v>13300.0</x:v>
      </x:c>
      <x:c r="I28" s="7">
        <x:v>42000.0</x:v>
      </x:c>
      <x:c r="J28" s="6" t="s">
        <x:v>22</x:v>
      </x:c>
      <x:c r="K28" s="6">
        <x:v>27.0</x:v>
      </x:c>
      <x:c r="L28" s="8" t="str">
        <x:f t="shared" si="2"/>
        <x:v>Alto</x:v>
      </x:c>
      <x:c r="M28" s="7">
        <x:v>40000.0</x:v>
      </x:c>
      <x:c r="N28" s="8" t="str">
        <x:f t="shared" si="3"/>
        <x:v>Negada</x:v>
      </x:c>
      <x:c r="O28" s="8" t="str">
        <x:f t="shared" si="4"/>
        <x:v>Passa</x:v>
      </x:c>
      <x:c r="P28" s="9">
        <x:f t="shared" si="5"/>
        <x:v>0</x:v>
      </x:c>
    </x:row>
    <x:row r="29" ht="15.75" customHeight="1">
      <x:c r="A29" s="6" t="s">
        <x:v>16</x:v>
      </x:c>
      <x:c r="B29" s="6" t="s">
        <x:v>123</x:v>
      </x:c>
      <x:c r="C29" s="6" t="s">
        <x:v>124</x:v>
      </x:c>
      <x:c r="D29" s="6">
        <x:f t="shared" si="1"/>
        <x:v>30</x:v>
      </x:c>
      <x:c r="E29" s="6" t="s">
        <x:v>125</x:v>
      </x:c>
      <x:c r="F29" s="6" t="s">
        <x:v>126</x:v>
      </x:c>
      <x:c r="G29" s="6" t="s">
        <x:v>95</x:v>
      </x:c>
      <x:c r="H29" s="7">
        <x:v>21200.0</x:v>
      </x:c>
      <x:c r="I29" s="7">
        <x:v>75000.0</x:v>
      </x:c>
      <x:c r="J29" s="6" t="s">
        <x:v>34</x:v>
      </x:c>
      <x:c r="K29" s="6">
        <x:v>6.0</x:v>
      </x:c>
      <x:c r="L29" s="8" t="str">
        <x:f t="shared" si="2"/>
        <x:v>Baixo</x:v>
      </x:c>
      <x:c r="M29" s="7">
        <x:v>63500.0</x:v>
      </x:c>
      <x:c r="N29" s="8" t="str">
        <x:f t="shared" si="3"/>
        <x:v>Passa</x:v>
      </x:c>
      <x:c r="O29" s="8" t="str">
        <x:f t="shared" si="4"/>
        <x:v>Passa</x:v>
      </x:c>
      <x:c r="P29" s="9">
        <x:f t="shared" si="5"/>
        <x:v>68580</x:v>
      </x:c>
    </x:row>
    <x:row r="30" ht="15.75" customHeight="1">
      <x:c r="A30" s="6" t="s">
        <x:v>16</x:v>
      </x:c>
      <x:c r="B30" s="6" t="s">
        <x:v>127</x:v>
      </x:c>
      <x:c r="C30" s="6" t="s">
        <x:v>128</x:v>
      </x:c>
      <x:c r="D30" s="6">
        <x:f t="shared" si="1"/>
        <x:v>38</x:v>
      </x:c>
      <x:c r="E30" s="6" t="s">
        <x:v>129</x:v>
      </x:c>
      <x:c r="F30" s="6" t="s">
        <x:v>86</x:v>
      </x:c>
      <x:c r="G30" s="6" t="s">
        <x:v>87</x:v>
      </x:c>
      <x:c r="H30" s="7">
        <x:v>19500.0</x:v>
      </x:c>
      <x:c r="I30" s="7">
        <x:v>39000.0</x:v>
      </x:c>
      <x:c r="J30" s="6" t="s">
        <x:v>34</x:v>
      </x:c>
      <x:c r="K30" s="6">
        <x:v>25.0</x:v>
      </x:c>
      <x:c r="L30" s="8" t="str">
        <x:f t="shared" si="2"/>
        <x:v>Médio</x:v>
      </x:c>
      <x:c r="M30" s="7">
        <x:v>88500.0</x:v>
      </x:c>
      <x:c r="N30" s="8" t="str">
        <x:f t="shared" si="3"/>
        <x:v>Passa</x:v>
      </x:c>
      <x:c r="O30" s="8" t="str">
        <x:f t="shared" si="4"/>
        <x:v>Passa</x:v>
      </x:c>
      <x:c r="P30" s="9">
        <x:f t="shared" si="5"/>
        <x:v>95580</x:v>
      </x:c>
    </x:row>
    <x:row r="31" ht="15.75" customHeight="1">
      <x:c r="A31" s="6" t="s">
        <x:v>23</x:v>
      </x:c>
      <x:c r="B31" s="6" t="s">
        <x:v>130</x:v>
      </x:c>
      <x:c r="C31" s="6" t="s">
        <x:v>131</x:v>
      </x:c>
      <x:c r="D31" s="6">
        <x:f t="shared" si="1"/>
        <x:v>68</x:v>
      </x:c>
      <x:c r="E31" s="6" t="s">
        <x:v>132</x:v>
      </x:c>
      <x:c r="F31" s="6" t="s">
        <x:v>38</x:v>
      </x:c>
      <x:c r="G31" s="6" t="s">
        <x:v>39</x:v>
      </x:c>
      <x:c r="H31" s="7">
        <x:v>3800.0</x:v>
      </x:c>
      <x:c r="I31" s="7">
        <x:v>70000.0</x:v>
      </x:c>
      <x:c r="J31" s="6" t="s">
        <x:v>22</x:v>
      </x:c>
      <x:c r="K31" s="6">
        <x:v>34.0</x:v>
      </x:c>
      <x:c r="L31" s="8" t="str">
        <x:f t="shared" si="2"/>
        <x:v>Alto</x:v>
      </x:c>
      <x:c r="M31" s="7">
        <x:v>7500.0</x:v>
      </x:c>
      <x:c r="N31" s="8" t="str">
        <x:f t="shared" si="3"/>
        <x:v>Negada</x:v>
      </x:c>
      <x:c r="O31" s="8" t="str">
        <x:f t="shared" si="4"/>
        <x:v>Negada</x:v>
      </x:c>
      <x:c r="P31" s="9">
        <x:f t="shared" si="5"/>
        <x:v>0</x:v>
      </x:c>
    </x:row>
    <x:row r="32" ht="15.75" customHeight="1">
      <x:c r="A32" s="6" t="s">
        <x:v>16</x:v>
      </x:c>
      <x:c r="B32" s="6" t="s">
        <x:v>133</x:v>
      </x:c>
      <x:c r="C32" s="6" t="s">
        <x:v>134</x:v>
      </x:c>
      <x:c r="D32" s="6">
        <x:f t="shared" si="1"/>
        <x:v>19</x:v>
      </x:c>
      <x:c r="E32" s="6" t="s">
        <x:v>135</x:v>
      </x:c>
      <x:c r="F32" s="6" t="s">
        <x:v>94</x:v>
      </x:c>
      <x:c r="G32" s="6" t="s">
        <x:v>95</x:v>
      </x:c>
      <x:c r="H32" s="7">
        <x:v>18000.0</x:v>
      </x:c>
      <x:c r="I32" s="7">
        <x:v>50500.0</x:v>
      </x:c>
      <x:c r="J32" s="6" t="s">
        <x:v>22</x:v>
      </x:c>
      <x:c r="K32" s="6">
        <x:v>11.0</x:v>
      </x:c>
      <x:c r="L32" s="8" t="str">
        <x:f t="shared" si="2"/>
        <x:v>Médio</x:v>
      </x:c>
      <x:c r="M32" s="7">
        <x:v>26000.0</x:v>
      </x:c>
      <x:c r="N32" s="8" t="str">
        <x:f t="shared" si="3"/>
        <x:v>Passa</x:v>
      </x:c>
      <x:c r="O32" s="8" t="str">
        <x:f t="shared" si="4"/>
        <x:v>Negada</x:v>
      </x:c>
      <x:c r="P32" s="9">
        <x:f t="shared" si="5"/>
        <x:v>0</x:v>
      </x:c>
    </x:row>
    <x:row r="33" ht="15.75" customHeight="1">
      <x:c r="A33" s="6" t="s">
        <x:v>16</x:v>
      </x:c>
      <x:c r="B33" s="6" t="s">
        <x:v>136</x:v>
      </x:c>
      <x:c r="C33" s="6" t="s">
        <x:v>137</x:v>
      </x:c>
      <x:c r="D33" s="6">
        <x:f t="shared" si="1"/>
        <x:v>42</x:v>
      </x:c>
      <x:c r="E33" s="6" t="s">
        <x:v>138</x:v>
      </x:c>
      <x:c r="F33" s="6" t="s">
        <x:v>139</x:v>
      </x:c>
      <x:c r="G33" s="6" t="s">
        <x:v>139</x:v>
      </x:c>
      <x:c r="H33" s="7">
        <x:v>0.0</x:v>
      </x:c>
      <x:c r="I33" s="7">
        <x:v>19500.0</x:v>
      </x:c>
      <x:c r="J33" s="6" t="s">
        <x:v>34</x:v>
      </x:c>
      <x:c r="K33" s="6">
        <x:v>42.0</x:v>
      </x:c>
      <x:c r="L33" s="8" t="str">
        <x:f t="shared" si="2"/>
        <x:v>Alto</x:v>
      </x:c>
      <x:c r="M33" s="7">
        <x:v>89500.0</x:v>
      </x:c>
      <x:c r="N33" s="8" t="str">
        <x:f t="shared" si="3"/>
        <x:v>Passa</x:v>
      </x:c>
      <x:c r="O33" s="8" t="str">
        <x:f t="shared" si="4"/>
        <x:v>Passa</x:v>
      </x:c>
      <x:c r="P33" s="9">
        <x:f t="shared" si="5"/>
        <x:v>96660</x:v>
      </x:c>
    </x:row>
    <x:row r="34" ht="15.75" customHeight="1">
      <x:c r="A34" s="6" t="s">
        <x:v>16</x:v>
      </x:c>
      <x:c r="B34" s="6" t="s">
        <x:v>140</x:v>
      </x:c>
      <x:c r="C34" s="6" t="s">
        <x:v>141</x:v>
      </x:c>
      <x:c r="D34" s="6">
        <x:f t="shared" si="1"/>
        <x:v>27</x:v>
      </x:c>
      <x:c r="E34" s="6" t="s">
        <x:v>142</x:v>
      </x:c>
      <x:c r="F34" s="6" t="s">
        <x:v>27</x:v>
      </x:c>
      <x:c r="G34" s="6" t="s">
        <x:v>28</x:v>
      </x:c>
      <x:c r="H34" s="7">
        <x:v>28800.0</x:v>
      </x:c>
      <x:c r="I34" s="7">
        <x:v>78500.0</x:v>
      </x:c>
      <x:c r="J34" s="6" t="s">
        <x:v>34</x:v>
      </x:c>
      <x:c r="K34" s="6">
        <x:v>2.0</x:v>
      </x:c>
      <x:c r="L34" s="8" t="str">
        <x:f t="shared" si="2"/>
        <x:v>Baixo</x:v>
      </x:c>
      <x:c r="M34" s="7">
        <x:v>53000.0</x:v>
      </x:c>
      <x:c r="N34" s="8" t="str">
        <x:f t="shared" si="3"/>
        <x:v>Passa</x:v>
      </x:c>
      <x:c r="O34" s="8" t="str">
        <x:f t="shared" si="4"/>
        <x:v>Passa</x:v>
      </x:c>
      <x:c r="P34" s="9">
        <x:f t="shared" si="5"/>
        <x:v>57240</x:v>
      </x:c>
    </x:row>
    <x:row r="35" ht="15.75" customHeight="1">
      <x:c r="A35" s="6" t="s">
        <x:v>16</x:v>
      </x:c>
      <x:c r="B35" s="6" t="s">
        <x:v>143</x:v>
      </x:c>
      <x:c r="C35" s="6" t="s">
        <x:v>144</x:v>
      </x:c>
      <x:c r="D35" s="6">
        <x:f t="shared" si="1"/>
        <x:v>42</x:v>
      </x:c>
      <x:c r="E35" s="6" t="s">
        <x:v>145</x:v>
      </x:c>
      <x:c r="F35" s="6" t="s">
        <x:v>38</x:v>
      </x:c>
      <x:c r="G35" s="6" t="s">
        <x:v>39</x:v>
      </x:c>
      <x:c r="H35" s="7">
        <x:v>17500.0</x:v>
      </x:c>
      <x:c r="I35" s="7">
        <x:v>3500.0</x:v>
      </x:c>
      <x:c r="J35" s="6" t="s">
        <x:v>34</x:v>
      </x:c>
      <x:c r="K35" s="6">
        <x:v>25.0</x:v>
      </x:c>
      <x:c r="L35" s="8" t="str">
        <x:f t="shared" si="2"/>
        <x:v>Médio</x:v>
      </x:c>
      <x:c r="M35" s="7">
        <x:v>35000.0</x:v>
      </x:c>
      <x:c r="N35" s="8" t="str">
        <x:f t="shared" si="3"/>
        <x:v>Passa</x:v>
      </x:c>
      <x:c r="O35" s="8" t="str">
        <x:f t="shared" si="4"/>
        <x:v>Passa</x:v>
      </x:c>
      <x:c r="P35" s="9">
        <x:f t="shared" si="5"/>
        <x:v>37800</x:v>
      </x:c>
    </x:row>
    <x:row r="36" ht="15.75" customHeight="1">
      <x:c r="A36" s="6" t="s">
        <x:v>16</x:v>
      </x:c>
      <x:c r="B36" s="6" t="s">
        <x:v>146</x:v>
      </x:c>
      <x:c r="C36" s="6" t="s">
        <x:v>147</x:v>
      </x:c>
      <x:c r="D36" s="6">
        <x:f t="shared" si="1"/>
        <x:v>44</x:v>
      </x:c>
      <x:c r="E36" s="6" t="s">
        <x:v>148</x:v>
      </x:c>
      <x:c r="F36" s="6" t="s">
        <x:v>46</x:v>
      </x:c>
      <x:c r="G36" s="6" t="s">
        <x:v>47</x:v>
      </x:c>
      <x:c r="H36" s="7">
        <x:v>5300.0</x:v>
      </x:c>
      <x:c r="I36" s="7">
        <x:v>6000.0</x:v>
      </x:c>
      <x:c r="J36" s="6" t="s">
        <x:v>22</x:v>
      </x:c>
      <x:c r="K36" s="6">
        <x:v>1.0</x:v>
      </x:c>
      <x:c r="L36" s="8" t="str">
        <x:f t="shared" si="2"/>
        <x:v>Baixo</x:v>
      </x:c>
      <x:c r="M36" s="7">
        <x:v>4500.0</x:v>
      </x:c>
      <x:c r="N36" s="8" t="str">
        <x:f t="shared" si="3"/>
        <x:v>Passa</x:v>
      </x:c>
      <x:c r="O36" s="8" t="str">
        <x:f t="shared" si="4"/>
        <x:v>Passa</x:v>
      </x:c>
      <x:c r="P36" s="9">
        <x:f t="shared" si="5"/>
        <x:v>4860</x:v>
      </x:c>
    </x:row>
    <x:row r="37" ht="15.75" customHeight="1">
      <x:c r="A37" s="6" t="s">
        <x:v>16</x:v>
      </x:c>
      <x:c r="B37" s="6" t="s">
        <x:v>149</x:v>
      </x:c>
      <x:c r="C37" s="6" t="s">
        <x:v>150</x:v>
      </x:c>
      <x:c r="D37" s="6">
        <x:f t="shared" si="1"/>
        <x:v>40</x:v>
      </x:c>
      <x:c r="E37" s="6" t="s">
        <x:v>151</x:v>
      </x:c>
      <x:c r="F37" s="6" t="s">
        <x:v>112</x:v>
      </x:c>
      <x:c r="G37" s="6" t="s">
        <x:v>87</x:v>
      </x:c>
      <x:c r="H37" s="7">
        <x:v>9900.0</x:v>
      </x:c>
      <x:c r="I37" s="7">
        <x:v>3500.0</x:v>
      </x:c>
      <x:c r="J37" s="6" t="s">
        <x:v>34</x:v>
      </x:c>
      <x:c r="K37" s="6">
        <x:v>1.0</x:v>
      </x:c>
      <x:c r="L37" s="8" t="str">
        <x:f t="shared" si="2"/>
        <x:v>Baixo</x:v>
      </x:c>
      <x:c r="M37" s="7">
        <x:v>23500.0</x:v>
      </x:c>
      <x:c r="N37" s="8" t="str">
        <x:f t="shared" si="3"/>
        <x:v>Passa</x:v>
      </x:c>
      <x:c r="O37" s="8" t="str">
        <x:f t="shared" si="4"/>
        <x:v>Passa</x:v>
      </x:c>
      <x:c r="P37" s="9">
        <x:f t="shared" si="5"/>
        <x:v>25380</x:v>
      </x:c>
    </x:row>
    <x:row r="38" ht="15.75" customHeight="1">
      <x:c r="A38" s="6" t="s">
        <x:v>16</x:v>
      </x:c>
      <x:c r="B38" s="6" t="s">
        <x:v>152</x:v>
      </x:c>
      <x:c r="C38" s="6" t="s">
        <x:v>153</x:v>
      </x:c>
      <x:c r="D38" s="6">
        <x:f t="shared" si="1"/>
        <x:v>65</x:v>
      </x:c>
      <x:c r="E38" s="6" t="s">
        <x:v>154</x:v>
      </x:c>
      <x:c r="F38" s="6" t="s">
        <x:v>38</x:v>
      </x:c>
      <x:c r="G38" s="6" t="s">
        <x:v>39</x:v>
      </x:c>
      <x:c r="H38" s="7">
        <x:v>23400.0</x:v>
      </x:c>
      <x:c r="I38" s="7">
        <x:v>28000.0</x:v>
      </x:c>
      <x:c r="J38" s="6" t="s">
        <x:v>34</x:v>
      </x:c>
      <x:c r="K38" s="6">
        <x:v>34.0</x:v>
      </x:c>
      <x:c r="L38" s="8" t="str">
        <x:f t="shared" si="2"/>
        <x:v>Alto</x:v>
      </x:c>
      <x:c r="M38" s="7">
        <x:v>74000.0</x:v>
      </x:c>
      <x:c r="N38" s="8" t="str">
        <x:f t="shared" si="3"/>
        <x:v>Passa</x:v>
      </x:c>
      <x:c r="O38" s="8" t="str">
        <x:f t="shared" si="4"/>
        <x:v>Passa</x:v>
      </x:c>
      <x:c r="P38" s="9">
        <x:f t="shared" si="5"/>
        <x:v>79920</x:v>
      </x:c>
    </x:row>
    <x:row r="39" ht="15.75" customHeight="1">
      <x:c r="A39" s="6" t="s">
        <x:v>16</x:v>
      </x:c>
      <x:c r="B39" s="6" t="s">
        <x:v>155</x:v>
      </x:c>
      <x:c r="C39" s="6" t="s">
        <x:v>156</x:v>
      </x:c>
      <x:c r="D39" s="6">
        <x:f t="shared" si="1"/>
        <x:v>63</x:v>
      </x:c>
      <x:c r="E39" s="6" t="s">
        <x:v>157</x:v>
      </x:c>
      <x:c r="F39" s="6" t="s">
        <x:v>139</x:v>
      </x:c>
      <x:c r="G39" s="6" t="s">
        <x:v>139</x:v>
      </x:c>
      <x:c r="H39" s="7">
        <x:v>14700.0</x:v>
      </x:c>
      <x:c r="I39" s="7">
        <x:v>0.0</x:v>
      </x:c>
      <x:c r="J39" s="6" t="s">
        <x:v>22</x:v>
      </x:c>
      <x:c r="K39" s="6">
        <x:v>40.0</x:v>
      </x:c>
      <x:c r="L39" s="8" t="str">
        <x:f t="shared" si="2"/>
        <x:v>Alto</x:v>
      </x:c>
      <x:c r="M39" s="7">
        <x:v>83500.0</x:v>
      </x:c>
      <x:c r="N39" s="8" t="str">
        <x:f t="shared" si="3"/>
        <x:v>Negada</x:v>
      </x:c>
      <x:c r="O39" s="8" t="str">
        <x:f t="shared" si="4"/>
        <x:v>Passa</x:v>
      </x:c>
      <x:c r="P39" s="9">
        <x:f t="shared" si="5"/>
        <x:v>0</x:v>
      </x:c>
    </x:row>
    <x:row r="40" ht="15.75" customHeight="1">
      <x:c r="A40" s="6" t="s">
        <x:v>16</x:v>
      </x:c>
      <x:c r="B40" s="6" t="s">
        <x:v>158</x:v>
      </x:c>
      <x:c r="C40" s="6" t="s">
        <x:v>159</x:v>
      </x:c>
      <x:c r="D40" s="6">
        <x:f t="shared" si="1"/>
        <x:v>126</x:v>
      </x:c>
      <x:c r="F40" s="6" t="s">
        <x:v>60</x:v>
      </x:c>
      <x:c r="G40" s="6" t="s">
        <x:v>61</x:v>
      </x:c>
      <x:c r="H40" s="7">
        <x:v>14400.0</x:v>
      </x:c>
      <x:c r="I40" s="7">
        <x:v>0.0</x:v>
      </x:c>
      <x:c r="J40" s="6" t="s">
        <x:v>34</x:v>
      </x:c>
      <x:c r="K40" s="6">
        <x:v>27.0</x:v>
      </x:c>
      <x:c r="L40" s="8" t="str">
        <x:f t="shared" si="2"/>
        <x:v>Alto</x:v>
      </x:c>
      <x:c r="M40" s="7">
        <x:v>33500.0</x:v>
      </x:c>
      <x:c r="N40" s="8" t="str">
        <x:f t="shared" si="3"/>
        <x:v>Passa</x:v>
      </x:c>
      <x:c r="O40" s="8" t="str">
        <x:f t="shared" si="4"/>
        <x:v>Passa</x:v>
      </x:c>
      <x:c r="P40" s="9">
        <x:f t="shared" si="5"/>
        <x:v>36180</x:v>
      </x:c>
    </x:row>
    <x:row r="41" ht="15.75" customHeight="1">
      <x:c r="A41" s="6" t="s">
        <x:v>16</x:v>
      </x:c>
      <x:c r="B41" s="6" t="s">
        <x:v>160</x:v>
      </x:c>
      <x:c r="C41" s="6" t="s">
        <x:v>161</x:v>
      </x:c>
      <x:c r="D41" s="6">
        <x:f t="shared" si="1"/>
        <x:v>39</x:v>
      </x:c>
      <x:c r="E41" s="6" t="s">
        <x:v>162</x:v>
      </x:c>
      <x:c r="F41" s="6" t="s">
        <x:v>94</x:v>
      </x:c>
      <x:c r="G41" s="6" t="s">
        <x:v>95</x:v>
      </x:c>
      <x:c r="H41" s="7">
        <x:v>29900.0</x:v>
      </x:c>
      <x:c r="I41" s="7">
        <x:v>0.0</x:v>
      </x:c>
      <x:c r="J41" s="6" t="s">
        <x:v>34</x:v>
      </x:c>
      <x:c r="K41" s="6">
        <x:v>39.0</x:v>
      </x:c>
      <x:c r="L41" s="8" t="str">
        <x:f t="shared" si="2"/>
        <x:v>Alto</x:v>
      </x:c>
      <x:c r="M41" s="7">
        <x:v>75000.0</x:v>
      </x:c>
      <x:c r="N41" s="8" t="str">
        <x:f t="shared" si="3"/>
        <x:v>Passa</x:v>
      </x:c>
      <x:c r="O41" s="8" t="str">
        <x:f t="shared" si="4"/>
        <x:v>Passa</x:v>
      </x:c>
      <x:c r="P41" s="9">
        <x:f t="shared" si="5"/>
        <x:v>81000</x:v>
      </x:c>
    </x:row>
    <x:row r="42" ht="15.75" customHeight="1">
      <x:c r="A42" s="6" t="s">
        <x:v>16</x:v>
      </x:c>
      <x:c r="B42" s="6" t="s">
        <x:v>163</x:v>
      </x:c>
      <x:c r="C42" s="6" t="s">
        <x:v>164</x:v>
      </x:c>
      <x:c r="D42" s="6">
        <x:f t="shared" si="1"/>
        <x:v>63</x:v>
      </x:c>
      <x:c r="E42" s="6" t="s">
        <x:v>165</x:v>
      </x:c>
      <x:c r="F42" s="6" t="s">
        <x:v>122</x:v>
      </x:c>
      <x:c r="G42" s="6" t="s">
        <x:v>87</x:v>
      </x:c>
      <x:c r="H42" s="7">
        <x:v>16800.0</x:v>
      </x:c>
      <x:c r="I42" s="7">
        <x:v>0.0</x:v>
      </x:c>
      <x:c r="J42" s="6" t="s">
        <x:v>34</x:v>
      </x:c>
      <x:c r="K42" s="6">
        <x:v>32.0</x:v>
      </x:c>
      <x:c r="L42" s="8" t="str">
        <x:f t="shared" si="2"/>
        <x:v>Alto</x:v>
      </x:c>
      <x:c r="M42" s="7">
        <x:v>61500.0</x:v>
      </x:c>
      <x:c r="N42" s="8" t="str">
        <x:f t="shared" si="3"/>
        <x:v>Passa</x:v>
      </x:c>
      <x:c r="O42" s="8" t="str">
        <x:f t="shared" si="4"/>
        <x:v>Passa</x:v>
      </x:c>
      <x:c r="P42" s="9">
        <x:f t="shared" si="5"/>
        <x:v>66420</x:v>
      </x:c>
    </x:row>
    <x:row r="43" ht="15.75" customHeight="1">
      <x:c r="A43" s="6" t="s">
        <x:v>16</x:v>
      </x:c>
      <x:c r="B43" s="6" t="s">
        <x:v>166</x:v>
      </x:c>
      <x:c r="C43" s="6" t="s">
        <x:v>167</x:v>
      </x:c>
      <x:c r="D43" s="6">
        <x:f t="shared" si="1"/>
        <x:v>54</x:v>
      </x:c>
      <x:c r="E43" s="6" t="s">
        <x:v>168</x:v>
      </x:c>
      <x:c r="F43" s="6" t="s">
        <x:v>94</x:v>
      </x:c>
      <x:c r="G43" s="6" t="s">
        <x:v>95</x:v>
      </x:c>
      <x:c r="H43" s="7">
        <x:v>29700.0</x:v>
      </x:c>
      <x:c r="I43" s="7">
        <x:v>34000.0</x:v>
      </x:c>
      <x:c r="J43" s="6" t="s">
        <x:v>34</x:v>
      </x:c>
      <x:c r="K43" s="6">
        <x:v>35.0</x:v>
      </x:c>
      <x:c r="L43" s="8" t="str">
        <x:f t="shared" si="2"/>
        <x:v>Alto</x:v>
      </x:c>
      <x:c r="M43" s="7">
        <x:v>35000.0</x:v>
      </x:c>
      <x:c r="N43" s="8" t="str">
        <x:f t="shared" si="3"/>
        <x:v>Passa</x:v>
      </x:c>
      <x:c r="O43" s="8" t="str">
        <x:f t="shared" si="4"/>
        <x:v>Passa</x:v>
      </x:c>
      <x:c r="P43" s="9">
        <x:f t="shared" si="5"/>
        <x:v>37800</x:v>
      </x:c>
    </x:row>
    <x:row r="44" ht="15.75" customHeight="1">
      <x:c r="A44" s="6" t="s">
        <x:v>16</x:v>
      </x:c>
      <x:c r="B44" s="6" t="s">
        <x:v>48</x:v>
      </x:c>
      <x:c r="C44" s="6" t="s">
        <x:v>169</x:v>
      </x:c>
      <x:c r="D44" s="6">
        <x:f t="shared" si="1"/>
        <x:v>29</x:v>
      </x:c>
      <x:c r="E44" s="6" t="s">
        <x:v>170</x:v>
      </x:c>
      <x:c r="F44" s="6" t="s">
        <x:v>112</x:v>
      </x:c>
      <x:c r="G44" s="6" t="s">
        <x:v>87</x:v>
      </x:c>
      <x:c r="H44" s="7">
        <x:v>11900.0</x:v>
      </x:c>
      <x:c r="I44" s="7">
        <x:v>65000.0</x:v>
      </x:c>
      <x:c r="J44" s="6" t="s">
        <x:v>22</x:v>
      </x:c>
      <x:c r="K44" s="6">
        <x:v>29.0</x:v>
      </x:c>
      <x:c r="L44" s="8" t="str">
        <x:f t="shared" si="2"/>
        <x:v>Alto</x:v>
      </x:c>
      <x:c r="M44" s="7">
        <x:v>12000.0</x:v>
      </x:c>
      <x:c r="N44" s="8" t="str">
        <x:f t="shared" si="3"/>
        <x:v>Negada</x:v>
      </x:c>
      <x:c r="O44" s="8" t="str">
        <x:f t="shared" si="4"/>
        <x:v>Negada</x:v>
      </x:c>
      <x:c r="P44" s="9">
        <x:f t="shared" si="5"/>
        <x:v>0</x:v>
      </x:c>
    </x:row>
    <x:row r="45" ht="15.75" customHeight="1">
      <x:c r="A45" s="6" t="s">
        <x:v>16</x:v>
      </x:c>
      <x:c r="B45" s="6" t="s">
        <x:v>171</x:v>
      </x:c>
      <x:c r="C45" s="6" t="s">
        <x:v>172</x:v>
      </x:c>
      <x:c r="D45" s="6">
        <x:f t="shared" si="1"/>
        <x:v>37</x:v>
      </x:c>
      <x:c r="E45" s="6" t="s">
        <x:v>173</x:v>
      </x:c>
      <x:c r="F45" s="6" t="s">
        <x:v>174</x:v>
      </x:c>
      <x:c r="G45" s="6" t="s">
        <x:v>95</x:v>
      </x:c>
      <x:c r="H45" s="7">
        <x:v>2600.0</x:v>
      </x:c>
      <x:c r="I45" s="7">
        <x:v>0.0</x:v>
      </x:c>
      <x:c r="J45" s="6" t="s">
        <x:v>34</x:v>
      </x:c>
      <x:c r="K45" s="6">
        <x:v>5.0</x:v>
      </x:c>
      <x:c r="L45" s="8" t="str">
        <x:f t="shared" si="2"/>
        <x:v>Baixo</x:v>
      </x:c>
      <x:c r="M45" s="7">
        <x:v>16500.0</x:v>
      </x:c>
      <x:c r="N45" s="8" t="str">
        <x:f t="shared" si="3"/>
        <x:v>Passa</x:v>
      </x:c>
      <x:c r="O45" s="8" t="str">
        <x:f t="shared" si="4"/>
        <x:v>Passa</x:v>
      </x:c>
      <x:c r="P45" s="9">
        <x:f t="shared" si="5"/>
        <x:v>17820</x:v>
      </x:c>
    </x:row>
    <x:row r="46" ht="15.75" customHeight="1">
      <x:c r="A46" s="6" t="s">
        <x:v>16</x:v>
      </x:c>
      <x:c r="B46" s="6" t="s">
        <x:v>175</x:v>
      </x:c>
      <x:c r="C46" s="6" t="s">
        <x:v>176</x:v>
      </x:c>
      <x:c r="D46" s="6">
        <x:f t="shared" si="1"/>
        <x:v>25</x:v>
      </x:c>
      <x:c r="E46" s="6" t="s">
        <x:v>177</x:v>
      </x:c>
      <x:c r="F46" s="6" t="s">
        <x:v>139</x:v>
      </x:c>
      <x:c r="G46" s="6" t="s">
        <x:v>139</x:v>
      </x:c>
      <x:c r="H46" s="7">
        <x:v>2500.0</x:v>
      </x:c>
      <x:c r="I46" s="7">
        <x:v>72500.0</x:v>
      </x:c>
      <x:c r="J46" s="6" t="s">
        <x:v>34</x:v>
      </x:c>
      <x:c r="K46" s="6">
        <x:v>32.0</x:v>
      </x:c>
      <x:c r="L46" s="8" t="str">
        <x:f t="shared" si="2"/>
        <x:v>Alto</x:v>
      </x:c>
      <x:c r="M46" s="7">
        <x:v>97000.0</x:v>
      </x:c>
      <x:c r="N46" s="8" t="str">
        <x:f t="shared" si="3"/>
        <x:v>Passa</x:v>
      </x:c>
      <x:c r="O46" s="8" t="str">
        <x:f t="shared" si="4"/>
        <x:v>Passa</x:v>
      </x:c>
      <x:c r="P46" s="9">
        <x:f t="shared" si="5"/>
        <x:v>104760</x:v>
      </x:c>
    </x:row>
    <x:row r="47" ht="15.75" customHeight="1">
      <x:c r="A47" s="6" t="s">
        <x:v>16</x:v>
      </x:c>
      <x:c r="B47" s="6" t="s">
        <x:v>178</x:v>
      </x:c>
      <x:c r="C47" s="6" t="s">
        <x:v>179</x:v>
      </x:c>
      <x:c r="D47" s="6">
        <x:f t="shared" si="1"/>
        <x:v>21</x:v>
      </x:c>
      <x:c r="E47" s="6" t="s">
        <x:v>180</x:v>
      </x:c>
      <x:c r="F47" s="6" t="s">
        <x:v>81</x:v>
      </x:c>
      <x:c r="G47" s="6" t="s">
        <x:v>82</x:v>
      </x:c>
      <x:c r="H47" s="7">
        <x:v>3800.0</x:v>
      </x:c>
      <x:c r="I47" s="7">
        <x:v>0.0</x:v>
      </x:c>
      <x:c r="J47" s="6" t="s">
        <x:v>34</x:v>
      </x:c>
      <x:c r="K47" s="6">
        <x:v>25.0</x:v>
      </x:c>
      <x:c r="L47" s="8" t="str">
        <x:f t="shared" si="2"/>
        <x:v>Médio</x:v>
      </x:c>
      <x:c r="M47" s="7">
        <x:v>50000.0</x:v>
      </x:c>
      <x:c r="N47" s="8" t="str">
        <x:f t="shared" si="3"/>
        <x:v>Passa</x:v>
      </x:c>
      <x:c r="O47" s="8" t="str">
        <x:f t="shared" si="4"/>
        <x:v>Passa</x:v>
      </x:c>
      <x:c r="P47" s="9">
        <x:f t="shared" si="5"/>
        <x:v>54000</x:v>
      </x:c>
    </x:row>
    <x:row r="48" ht="15.75" customHeight="1">
      <x:c r="A48" s="6" t="s">
        <x:v>16</x:v>
      </x:c>
      <x:c r="B48" s="6" t="s">
        <x:v>181</x:v>
      </x:c>
      <x:c r="C48" s="6" t="s">
        <x:v>182</x:v>
      </x:c>
      <x:c r="D48" s="6">
        <x:f t="shared" si="1"/>
        <x:v>28</x:v>
      </x:c>
      <x:c r="E48" s="6" t="s">
        <x:v>183</x:v>
      </x:c>
      <x:c r="F48" s="6" t="s">
        <x:v>184</x:v>
      </x:c>
      <x:c r="G48" s="6" t="s">
        <x:v>33</x:v>
      </x:c>
      <x:c r="H48" s="7">
        <x:v>2000.0</x:v>
      </x:c>
      <x:c r="I48" s="7">
        <x:v>51000.0</x:v>
      </x:c>
      <x:c r="J48" s="6" t="s">
        <x:v>34</x:v>
      </x:c>
      <x:c r="K48" s="6">
        <x:v>12.0</x:v>
      </x:c>
      <x:c r="L48" s="8" t="str">
        <x:f t="shared" si="2"/>
        <x:v>Médio</x:v>
      </x:c>
      <x:c r="M48" s="7">
        <x:v>72500.0</x:v>
      </x:c>
      <x:c r="N48" s="8" t="str">
        <x:f t="shared" si="3"/>
        <x:v>Passa</x:v>
      </x:c>
      <x:c r="O48" s="8" t="str">
        <x:f t="shared" si="4"/>
        <x:v>Passa</x:v>
      </x:c>
      <x:c r="P48" s="9">
        <x:f t="shared" si="5"/>
        <x:v>78300</x:v>
      </x:c>
    </x:row>
    <x:row r="49" ht="15.75" customHeight="1">
      <x:c r="A49" s="6" t="s">
        <x:v>16</x:v>
      </x:c>
      <x:c r="B49" s="6" t="s">
        <x:v>185</x:v>
      </x:c>
      <x:c r="C49" s="6" t="s">
        <x:v>186</x:v>
      </x:c>
      <x:c r="D49" s="6">
        <x:f t="shared" si="1"/>
        <x:v>39</x:v>
      </x:c>
      <x:c r="E49" s="6" t="s">
        <x:v>187</x:v>
      </x:c>
      <x:c r="F49" s="6" t="s">
        <x:v>94</x:v>
      </x:c>
      <x:c r="G49" s="6" t="s">
        <x:v>95</x:v>
      </x:c>
      <x:c r="H49" s="7">
        <x:v>24700.0</x:v>
      </x:c>
      <x:c r="I49" s="7">
        <x:v>23500.0</x:v>
      </x:c>
      <x:c r="J49" s="6" t="s">
        <x:v>34</x:v>
      </x:c>
      <x:c r="K49" s="6">
        <x:v>43.0</x:v>
      </x:c>
      <x:c r="L49" s="8" t="str">
        <x:f t="shared" si="2"/>
        <x:v>Alto</x:v>
      </x:c>
      <x:c r="M49" s="7">
        <x:v>57000.0</x:v>
      </x:c>
      <x:c r="N49" s="8" t="str">
        <x:f t="shared" si="3"/>
        <x:v>Passa</x:v>
      </x:c>
      <x:c r="O49" s="8" t="str">
        <x:f t="shared" si="4"/>
        <x:v>Passa</x:v>
      </x:c>
      <x:c r="P49" s="9">
        <x:f t="shared" si="5"/>
        <x:v>61560</x:v>
      </x:c>
    </x:row>
    <x:row r="50" ht="15.75" customHeight="1">
      <x:c r="A50" s="6" t="s">
        <x:v>16</x:v>
      </x:c>
      <x:c r="B50" s="6" t="s">
        <x:v>188</x:v>
      </x:c>
      <x:c r="C50" s="6" t="s">
        <x:v>189</x:v>
      </x:c>
      <x:c r="D50" s="6">
        <x:f t="shared" si="1"/>
        <x:v>73</x:v>
      </x:c>
      <x:c r="E50" s="6" t="s">
        <x:v>190</x:v>
      </x:c>
      <x:c r="F50" s="6" t="s">
        <x:v>112</x:v>
      </x:c>
      <x:c r="G50" s="6" t="s">
        <x:v>87</x:v>
      </x:c>
      <x:c r="H50" s="7">
        <x:v>28600.0</x:v>
      </x:c>
      <x:c r="I50" s="7">
        <x:v>40500.0</x:v>
      </x:c>
      <x:c r="J50" s="6" t="s">
        <x:v>34</x:v>
      </x:c>
      <x:c r="K50" s="6">
        <x:v>20.0</x:v>
      </x:c>
      <x:c r="L50" s="8" t="str">
        <x:f t="shared" si="2"/>
        <x:v>Médio</x:v>
      </x:c>
      <x:c r="M50" s="7">
        <x:v>2500.0</x:v>
      </x:c>
      <x:c r="N50" s="8" t="str">
        <x:f t="shared" si="3"/>
        <x:v>Passa</x:v>
      </x:c>
      <x:c r="O50" s="8" t="str">
        <x:f t="shared" si="4"/>
        <x:v>Passa</x:v>
      </x:c>
      <x:c r="P50" s="9">
        <x:f t="shared" si="5"/>
        <x:v>2700</x:v>
      </x:c>
    </x:row>
    <x:row r="51" ht="15.75" customHeight="1">
      <x:c r="A51" s="6" t="s">
        <x:v>16</x:v>
      </x:c>
      <x:c r="B51" s="6" t="s">
        <x:v>191</x:v>
      </x:c>
      <x:c r="C51" s="6" t="s">
        <x:v>192</x:v>
      </x:c>
      <x:c r="D51" s="6">
        <x:f t="shared" si="1"/>
        <x:v>42</x:v>
      </x:c>
      <x:c r="E51" s="6" t="s">
        <x:v>193</x:v>
      </x:c>
      <x:c r="F51" s="6" t="s">
        <x:v>86</x:v>
      </x:c>
      <x:c r="G51" s="6" t="s">
        <x:v>87</x:v>
      </x:c>
      <x:c r="H51" s="7">
        <x:v>20400.0</x:v>
      </x:c>
      <x:c r="I51" s="7">
        <x:v>0.0</x:v>
      </x:c>
      <x:c r="J51" s="6" t="s">
        <x:v>34</x:v>
      </x:c>
      <x:c r="K51" s="6">
        <x:v>0.0</x:v>
      </x:c>
      <x:c r="L51" s="8" t="str">
        <x:f t="shared" si="2"/>
        <x:v>Baixo</x:v>
      </x:c>
      <x:c r="M51" s="7">
        <x:v>81000.0</x:v>
      </x:c>
      <x:c r="N51" s="8" t="str">
        <x:f t="shared" si="3"/>
        <x:v>Passa</x:v>
      </x:c>
      <x:c r="O51" s="8" t="str">
        <x:f t="shared" si="4"/>
        <x:v>Passa</x:v>
      </x:c>
      <x:c r="P51" s="9">
        <x:f t="shared" si="5"/>
        <x:v>87480</x:v>
      </x:c>
    </x:row>
    <x:row r="52" ht="15.75" customHeight="1">
      <x:c r="A52" s="24" t="str">
        <x:v>Ativo</x:v>
      </x:c>
      <x:c r="B52" s="24" t="str">
        <x:v>Bronn Dondarrion</x:v>
      </x:c>
      <x:c r="C52" s="24" t="str">
        <x:v>000.000.036-00</x:v>
      </x:c>
      <x:c r="D52" s="24" t="n">
        <x:v>49</x:v>
      </x:c>
      <x:c r="E52" s="24" t="str">
        <x:v>11/01/1977</x:v>
      </x:c>
      <x:c r="F52" s="24" t="str">
        <x:v>Jardim de Cima</x:v>
      </x:c>
      <x:c r="G52" s="24" t="str">
        <x:v>campina</x:v>
      </x:c>
      <x:c r="H52" s="25" t="n">
        <x:v>20300</x:v>
      </x:c>
      <x:c r="I52" s="25" t="n">
        <x:v>12000</x:v>
      </x:c>
      <x:c r="J52" s="24" t="str">
        <x:v>Sim</x:v>
      </x:c>
      <x:c r="K52" s="24" t="n">
        <x:v>27</x:v>
      </x:c>
      <x:c r="L52" s="26" t="str">
        <x:f>IF(ISNUMBER(K52),IF(K52&lt;=10,"Baixo",IF(K52&lt;=25,"Médio","Alto")),"")</x:f>
        <x:v>Alto</x:v>
      </x:c>
      <x:c r="M52" s="27" t="n">
        <x:v>67500</x:v>
      </x:c>
      <x:c r="N52" s="27" t="str">
        <x:f>IF(AND(L52="Alto",OR(J52="Sim",J52="S")),"Negada","Passa")</x:f>
        <x:v>Negada</x:v>
      </x:c>
      <x:c r="O52" s="27" t="str">
        <x:f>IF(AND(ISNUMBER(I52),I52&gt;50000,OR(J52="Sim",J52="S")),"Negada","Passa")</x:f>
        <x:v>Passa</x:v>
      </x:c>
      <x:c r="P52" s="27" t="n">
        <x:f>IF(OR(N52="Negada",O52="Negada",A52="Inativo",A52="INATIVO"),0,IF(A52="Ativo",M52*1.08,0))</x:f>
        <x:v>0</x:v>
      </x:c>
    </x:row>
    <x:row r="53" ht="15.75" customHeight="1">
      <x:c r="A53" s="24" t="str">
        <x:v>ATIVO</x:v>
      </x:c>
      <x:c r="B53" s="24" t="str">
        <x:v>Ellaria Yronwood</x:v>
      </x:c>
      <x:c r="C53" s="24" t="str">
        <x:v>000.000.176-00</x:v>
      </x:c>
      <x:c r="D53" s="24" t="n">
        <x:v>73</x:v>
      </x:c>
      <x:c r="E53" s="24" t="str">
        <x:v>05/01/1953</x:v>
      </x:c>
      <x:c r="F53" s="24" t="str">
        <x:v>Monte Chifre</x:v>
      </x:c>
      <x:c r="G53" s="24" t="str">
        <x:v>Campina</x:v>
      </x:c>
      <x:c r="H53" s="25" t="n">
        <x:v>16500</x:v>
      </x:c>
      <x:c r="I53" s="25" t="n">
        <x:v>54000</x:v>
      </x:c>
      <x:c r="J53" s="24" t="str">
        <x:v>Não</x:v>
      </x:c>
      <x:c r="K53" s="24" t="n">
        <x:v>11</x:v>
      </x:c>
      <x:c r="L53" s="26" t="str">
        <x:f>IF(ISNUMBER(K53),IF(K53&lt;=10,"Baixo",IF(K53&lt;=25,"Médio","Alto")),"")</x:f>
        <x:v>Médio</x:v>
      </x:c>
      <x:c r="M53" s="27" t="n">
        <x:v>33500</x:v>
      </x:c>
      <x:c r="N53" s="27" t="str">
        <x:f>IF(AND(L53="Alto",OR(J53="Sim",J53="S")),"Negada","Passa")</x:f>
        <x:v>Passa</x:v>
      </x:c>
      <x:c r="O53" s="27" t="str">
        <x:f>IF(AND(ISNUMBER(I53),I53&gt;50000,OR(J53="Sim",J53="S")),"Negada","Passa")</x:f>
        <x:v>Passa</x:v>
      </x:c>
      <x:c r="P53" s="27" t="n">
        <x:f>IF(OR(N53="Negada",O53="Negada",A53="Inativo",A53="INATIVO"),0,IF(A53="Ativo",M53*1.08,0))</x:f>
        <x:v>36180</x:v>
      </x:c>
    </x:row>
    <x:row r="54" ht="15.75" customHeight="1">
      <x:c r="A54" s="24" t="str">
        <x:v>Ativo</x:v>
      </x:c>
      <x:c r="B54" s="24" t="str">
        <x:v>Olenna Lannister</x:v>
      </x:c>
      <x:c r="C54" s="24" t="str">
        <x:v>000.000.212-00</x:v>
      </x:c>
      <x:c r="D54" s="24" t="n">
        <x:v>26</x:v>
      </x:c>
      <x:c r="E54" s="24" t="str">
        <x:v>19/09/1999</x:v>
      </x:c>
      <x:c r="F54" s="24" t="str">
        <x:v>Pedra do Dragão</x:v>
      </x:c>
      <x:c r="G54" s="24" t="str">
        <x:v>terras da coroa</x:v>
      </x:c>
      <x:c r="H54" s="25" t="n">
        <x:v>8900</x:v>
      </x:c>
      <x:c r="I54" s="25" t="n">
        <x:v>72000</x:v>
      </x:c>
      <x:c r="J54" s="24" t="str">
        <x:v>Não</x:v>
      </x:c>
      <x:c r="K54" s="24" t="n">
        <x:v>17</x:v>
      </x:c>
      <x:c r="L54" s="26" t="str">
        <x:f>IF(ISNUMBER(K54),IF(K54&lt;=10,"Baixo",IF(K54&lt;=25,"Médio","Alto")),"")</x:f>
        <x:v>Médio</x:v>
      </x:c>
      <x:c r="M54" s="27" t="n">
        <x:v>11000</x:v>
      </x:c>
      <x:c r="N54" s="27" t="str">
        <x:f>IF(AND(L54="Alto",OR(J54="Sim",J54="S")),"Negada","Passa")</x:f>
        <x:v>Passa</x:v>
      </x:c>
      <x:c r="O54" s="27" t="str">
        <x:f>IF(AND(ISNUMBER(I54),I54&gt;50000,OR(J54="Sim",J54="S")),"Negada","Passa")</x:f>
        <x:v>Passa</x:v>
      </x:c>
      <x:c r="P54" s="27" t="n">
        <x:f>IF(OR(N54="Negada",O54="Negada",A54="Inativo",A54="INATIVO"),0,IF(A54="Ativo",M54*1.08,0))</x:f>
        <x:v>11880</x:v>
      </x:c>
    </x:row>
    <x:row r="55" ht="15.75" customHeight="1">
      <x:c r="A55" s="24" t="str">
        <x:v>Ativo</x:v>
      </x:c>
      <x:c r="B55" s="24" t="str">
        <x:v>Bran Frey</x:v>
      </x:c>
      <x:c r="C55" s="24" t="str">
        <x:v>000.000.042-00</x:v>
      </x:c>
      <x:c r="D55" s="24" t="n">
        <x:v>33</x:v>
      </x:c>
      <x:c r="E55" s="24" t="n">
        <x:v>33892</x:v>
      </x:c>
      <x:c r="F55" s="24" t="str">
        <x:v>Braavos</x:v>
      </x:c>
      <x:c r="G55" s="24" t="str"/>
      <x:c r="H55" s="25" t="n">
        <x:v>29200</x:v>
      </x:c>
      <x:c r="I55" s="25" t="n">
        <x:v>3000</x:v>
      </x:c>
      <x:c r="J55" s="24" t="str">
        <x:v>Sim</x:v>
      </x:c>
      <x:c r="K55" s="24" t="n">
        <x:v>40</x:v>
      </x:c>
      <x:c r="L55" s="26" t="str">
        <x:f>IF(ISNUMBER(K55),IF(K55&lt;=10,"Baixo",IF(K55&lt;=25,"Médio","Alto")),"")</x:f>
        <x:v>Alto</x:v>
      </x:c>
      <x:c r="M55" s="27" t="n">
        <x:v>26000</x:v>
      </x:c>
      <x:c r="N55" s="27" t="str">
        <x:f>IF(AND(L55="Alto",OR(J55="Sim",J55="S")),"Negada","Passa")</x:f>
        <x:v>Negada</x:v>
      </x:c>
      <x:c r="O55" s="27" t="str">
        <x:f>IF(AND(ISNUMBER(I55),I55&gt;50000,OR(J55="Sim",J55="S")),"Negada","Passa")</x:f>
        <x:v>Passa</x:v>
      </x:c>
      <x:c r="P55" s="27" t="n">
        <x:f>IF(OR(N55="Negada",O55="Negada",A55="Inativo",A55="INATIVO"),0,IF(A55="Ativo",M55*1.08,0))</x:f>
        <x:v>0</x:v>
      </x:c>
    </x:row>
    <x:row r="56" ht="15.75" customHeight="1">
      <x:c r="A56" s="24" t="str">
        <x:v>Ativo</x:v>
      </x:c>
      <x:c r="B56" s="24" t="str">
        <x:v>Sansa Clegane</x:v>
      </x:c>
      <x:c r="C56" s="24" t="str">
        <x:v>000.000.174-00</x:v>
      </x:c>
      <x:c r="D56" s="24" t="str">
        <x:v>67 anos</x:v>
      </x:c>
      <x:c r="E56" s="24" t="n">
        <x:v>21671</x:v>
      </x:c>
      <x:c r="F56" s="24" t="str">
        <x:v>Ponta Tempestade</x:v>
      </x:c>
      <x:c r="G56" s="24" t="str">
        <x:v>terras da tempestade</x:v>
      </x:c>
      <x:c r="H56" s="25" t="n">
        <x:v>6500</x:v>
      </x:c>
      <x:c r="I56" s="25" t="n">
        <x:v>42500</x:v>
      </x:c>
      <x:c r="J56" s="24" t="str">
        <x:v>Sim</x:v>
      </x:c>
      <x:c r="K56" s="24" t="n">
        <x:v>3</x:v>
      </x:c>
      <x:c r="L56" s="26" t="str">
        <x:f>IF(ISNUMBER(K56),IF(K56&lt;=10,"Baixo",IF(K56&lt;=25,"Médio","Alto")),"")</x:f>
        <x:v>Baixo</x:v>
      </x:c>
      <x:c r="M56" s="27" t="n">
        <x:v>8000</x:v>
      </x:c>
      <x:c r="N56" s="27" t="str">
        <x:f>IF(AND(L56="Alto",OR(J56="Sim",J56="S")),"Negada","Passa")</x:f>
        <x:v>Passa</x:v>
      </x:c>
      <x:c r="O56" s="27" t="str">
        <x:f>IF(AND(ISNUMBER(I56),I56&gt;50000,OR(J56="Sim",J56="S")),"Negada","Passa")</x:f>
        <x:v>Passa</x:v>
      </x:c>
      <x:c r="P56" s="27" t="n">
        <x:f>IF(OR(N56="Negada",O56="Negada",A56="Inativo",A56="INATIVO"),0,IF(A56="Ativo",M56*1.08,0))</x:f>
        <x:v>8640</x:v>
      </x:c>
    </x:row>
    <x:row r="57" ht="15.75" customHeight="1">
      <x:c r="A57" s="24" t="str">
        <x:v>Ativo</x:v>
      </x:c>
      <x:c r="B57" s="24" t="str">
        <x:v>Daario Yronwood</x:v>
      </x:c>
      <x:c r="C57" s="24" t="n">
        <x:v>18300</x:v>
      </x:c>
      <x:c r="D57" s="24" t="n">
        <x:v>72</x:v>
      </x:c>
      <x:c r="E57" s="24" t="n">
        <x:v>19801</x:v>
      </x:c>
      <x:c r="F57" s="24" t="str">
        <x:v>Porto Real</x:v>
      </x:c>
      <x:c r="G57" s="24" t="str">
        <x:v>Terras Da Coroa</x:v>
      </x:c>
      <x:c r="H57" s="25" t="n">
        <x:v>10200</x:v>
      </x:c>
      <x:c r="I57" s="25" t="n">
        <x:v>0</x:v>
      </x:c>
      <x:c r="J57" s="24" t="str">
        <x:v>Não</x:v>
      </x:c>
      <x:c r="K57" s="24" t="n">
        <x:v>27</x:v>
      </x:c>
      <x:c r="L57" s="26" t="str">
        <x:f>IF(ISNUMBER(K57),IF(K57&lt;=10,"Baixo",IF(K57&lt;=25,"Médio","Alto")),"")</x:f>
        <x:v>Alto</x:v>
      </x:c>
      <x:c r="M57" s="27" t="n">
        <x:v>99500</x:v>
      </x:c>
      <x:c r="N57" s="27" t="str">
        <x:f>IF(AND(L57="Alto",OR(J57="Sim",J57="S")),"Negada","Passa")</x:f>
        <x:v>Passa</x:v>
      </x:c>
      <x:c r="O57" s="27" t="str">
        <x:f>IF(AND(ISNUMBER(I57),I57&gt;50000,OR(J57="Sim",J57="S")),"Negada","Passa")</x:f>
        <x:v>Passa</x:v>
      </x:c>
      <x:c r="P57" s="27" t="n">
        <x:f>IF(OR(N57="Negada",O57="Negada",A57="Inativo",A57="INATIVO"),0,IF(A57="Ativo",M57*1.08,0))</x:f>
        <x:v>107460</x:v>
      </x:c>
    </x:row>
    <x:row r="58" ht="15.75" customHeight="1">
      <x:c r="A58" s="24" t="str">
        <x:v>Ativo</x:v>
      </x:c>
      <x:c r="B58" s="24" t="str">
        <x:v>Ramsay Karstark</x:v>
      </x:c>
      <x:c r="C58" s="24" t="str">
        <x:v>000.000.185-00</x:v>
      </x:c>
      <x:c r="D58" s="24" t="n">
        <x:v>35</x:v>
      </x:c>
      <x:c r="E58" s="24" t="str">
        <x:v>12/05/1991</x:v>
      </x:c>
      <x:c r="F58" s="24" t="str">
        <x:v>Pedra do Dragão</x:v>
      </x:c>
      <x:c r="G58" s="24" t="str">
        <x:v>Terras Da Coroa</x:v>
      </x:c>
      <x:c r="H58" s="25" t="n">
        <x:v>5600</x:v>
      </x:c>
      <x:c r="I58" s="25" t="n">
        <x:v>69500</x:v>
      </x:c>
      <x:c r="J58" s="24" t="str">
        <x:v>Não</x:v>
      </x:c>
      <x:c r="K58" s="24" t="n">
        <x:v>13</x:v>
      </x:c>
      <x:c r="L58" s="26" t="str">
        <x:f>IF(ISNUMBER(K58),IF(K58&lt;=10,"Baixo",IF(K58&lt;=25,"Médio","Alto")),"")</x:f>
        <x:v>Médio</x:v>
      </x:c>
      <x:c r="M58" s="27" t="n">
        <x:v>43500</x:v>
      </x:c>
      <x:c r="N58" s="27" t="str">
        <x:f>IF(AND(L58="Alto",OR(J58="Sim",J58="S")),"Negada","Passa")</x:f>
        <x:v>Passa</x:v>
      </x:c>
      <x:c r="O58" s="27" t="str">
        <x:f>IF(AND(ISNUMBER(I58),I58&gt;50000,OR(J58="Sim",J58="S")),"Negada","Passa")</x:f>
        <x:v>Passa</x:v>
      </x:c>
      <x:c r="P58" s="27" t="n">
        <x:f>IF(OR(N58="Negada",O58="Negada",A58="Inativo",A58="INATIVO"),0,IF(A58="Ativo",M58*1.08,0))</x:f>
        <x:v>46980</x:v>
      </x:c>
    </x:row>
    <x:row r="59" ht="15.75" customHeight="1">
      <x:c r="A59" s="24" t="str">
        <x:v>Ativo</x:v>
      </x:c>
      <x:c r="B59" s="24" t="str">
        <x:v>Beric Tallhart</x:v>
      </x:c>
      <x:c r="C59" s="24" t="str">
        <x:v>000.000.048-00</x:v>
      </x:c>
      <x:c r="D59" s="24" t="n">
        <x:v>33</x:v>
      </x:c>
      <x:c r="E59" s="24" t="n">
        <x:v>34084</x:v>
      </x:c>
      <x:c r="F59" s="24" t="str">
        <x:v>Ilha dos Ursos</x:v>
      </x:c>
      <x:c r="G59" s="24" t="str">
        <x:v>Norte</x:v>
      </x:c>
      <x:c r="H59" s="25" t="n">
        <x:v>29700</x:v>
      </x:c>
      <x:c r="I59" s="25" t="n">
        <x:v>38000</x:v>
      </x:c>
      <x:c r="J59" s="24" t="str">
        <x:v>Sim</x:v>
      </x:c>
      <x:c r="K59" s="24" t="n">
        <x:v>41</x:v>
      </x:c>
      <x:c r="L59" s="26" t="str">
        <x:f>IF(ISNUMBER(K59),IF(K59&lt;=10,"Baixo",IF(K59&lt;=25,"Médio","Alto")),"")</x:f>
        <x:v>Alto</x:v>
      </x:c>
      <x:c r="M59" s="27" t="n">
        <x:v>83500</x:v>
      </x:c>
      <x:c r="N59" s="27" t="str">
        <x:f>IF(AND(L59="Alto",OR(J59="Sim",J59="S")),"Negada","Passa")</x:f>
        <x:v>Negada</x:v>
      </x:c>
      <x:c r="O59" s="27" t="str">
        <x:f>IF(AND(ISNUMBER(I59),I59&gt;50000,OR(J59="Sim",J59="S")),"Negada","Passa")</x:f>
        <x:v>Passa</x:v>
      </x:c>
      <x:c r="P59" s="27" t="n">
        <x:f>IF(OR(N59="Negada",O59="Negada",A59="Inativo",A59="INATIVO"),0,IF(A59="Ativo",M59*1.08,0))</x:f>
        <x:v>0</x:v>
      </x:c>
    </x:row>
    <x:row r="60" ht="15.75" customHeight="1">
      <x:c r="A60" s="24" t="str">
        <x:v>Ativo</x:v>
      </x:c>
      <x:c r="B60" s="24" t="str">
        <x:v>Meera Lannister</x:v>
      </x:c>
      <x:c r="C60" s="24" t="str">
        <x:v>000.000.121-00</x:v>
      </x:c>
      <x:c r="D60" s="24" t="n">
        <x:v>58</x:v>
      </x:c>
      <x:c r="E60" s="24" t="str">
        <x:v>01/11/1967</x:v>
      </x:c>
      <x:c r="F60" s="24" t="str">
        <x:v>Ninho da Águia</x:v>
      </x:c>
      <x:c r="G60" s="24" t="str">
        <x:v>Vale</x:v>
      </x:c>
      <x:c r="H60" s="25" t="str">
        <x:v>22200 moedas</x:v>
      </x:c>
      <x:c r="I60" s="25" t="n">
        <x:v>0</x:v>
      </x:c>
      <x:c r="J60" s="24" t="str">
        <x:v>Não</x:v>
      </x:c>
      <x:c r="K60" s="24" t="n">
        <x:v>42</x:v>
      </x:c>
      <x:c r="L60" s="26" t="str">
        <x:f>IF(ISNUMBER(K60),IF(K60&lt;=10,"Baixo",IF(K60&lt;=25,"Médio","Alto")),"")</x:f>
        <x:v>Alto</x:v>
      </x:c>
      <x:c r="M60" s="27" t="n">
        <x:v>33000</x:v>
      </x:c>
      <x:c r="N60" s="27" t="str">
        <x:f>IF(AND(L60="Alto",OR(J60="Sim",J60="S")),"Negada","Passa")</x:f>
        <x:v>Passa</x:v>
      </x:c>
      <x:c r="O60" s="27" t="str">
        <x:f>IF(AND(ISNUMBER(I60),I60&gt;50000,OR(J60="Sim",J60="S")),"Negada","Passa")</x:f>
        <x:v>Passa</x:v>
      </x:c>
      <x:c r="P60" s="27" t="n">
        <x:f>IF(OR(N60="Negada",O60="Negada",A60="Inativo",A60="INATIVO"),0,IF(A60="Ativo",M60*1.08,0))</x:f>
        <x:v>35640</x:v>
      </x:c>
    </x:row>
    <x:row r="61" ht="15.75" customHeight="1">
      <x:c r="A61" s="24" t="str">
        <x:v>Inativo</x:v>
      </x:c>
      <x:c r="B61" s="24" t="str">
        <x:v>THOROS HORNWOOD</x:v>
      </x:c>
      <x:c r="C61" s="24" t="str">
        <x:v>000.000.245-00</x:v>
      </x:c>
      <x:c r="D61" s="24" t="n">
        <x:v>65</x:v>
      </x:c>
      <x:c r="E61" s="24" t="n">
        <x:v>22205</x:v>
      </x:c>
      <x:c r="F61" s="24" t="str">
        <x:v>Castelo Negro</x:v>
      </x:c>
      <x:c r="G61" s="24" t="str">
        <x:v>Norte</x:v>
      </x:c>
      <x:c r="H61" s="25" t="n">
        <x:v>19800</x:v>
      </x:c>
      <x:c r="I61" s="25" t="n">
        <x:v>78500</x:v>
      </x:c>
      <x:c r="J61" s="24" t="str">
        <x:v>Não</x:v>
      </x:c>
      <x:c r="K61" s="24" t="n">
        <x:v>34</x:v>
      </x:c>
      <x:c r="L61" s="26" t="str">
        <x:f>IF(ISNUMBER(K61),IF(K61&lt;=10,"Baixo",IF(K61&lt;=25,"Médio","Alto")),"")</x:f>
        <x:v>Alto</x:v>
      </x:c>
      <x:c r="M61" s="27" t="n">
        <x:v>84000</x:v>
      </x:c>
      <x:c r="N61" s="27" t="str">
        <x:f>IF(AND(L61="Alto",OR(J61="Sim",J61="S")),"Negada","Passa")</x:f>
        <x:v>Passa</x:v>
      </x:c>
      <x:c r="O61" s="27" t="str">
        <x:f>IF(AND(ISNUMBER(I61),I61&gt;50000,OR(J61="Sim",J61="S")),"Negada","Passa")</x:f>
        <x:v>Passa</x:v>
      </x:c>
      <x:c r="P61" s="27" t="n">
        <x:f>IF(OR(N61="Negada",O61="Negada",A61="Inativo",A61="INATIVO"),0,IF(A61="Ativo",M61*1.08,0))</x:f>
        <x:v>0</x:v>
      </x:c>
    </x:row>
    <x:row r="62" ht="15.75" customHeight="1">
      <x:c r="A62" s="24" t="str">
        <x:v>Inativo</x:v>
      </x:c>
      <x:c r="B62" s="24" t="str">
        <x:v>Grey Worm Targaryen</x:v>
      </x:c>
      <x:c r="C62" s="24" t="n">
        <x:v>8400</x:v>
      </x:c>
      <x:c r="D62" s="24" t="n">
        <x:v>38</x:v>
      </x:c>
      <x:c r="E62" s="24" t="str">
        <x:v>27/07/1988</x:v>
      </x:c>
      <x:c r="F62" s="24" t="str">
        <x:v>Pedra do Dragão</x:v>
      </x:c>
      <x:c r="G62" s="24" t="str">
        <x:v>terras da coroa</x:v>
      </x:c>
      <x:c r="H62" s="25" t="n">
        <x:v>23600</x:v>
      </x:c>
      <x:c r="I62" s="25" t="n">
        <x:v>0</x:v>
      </x:c>
      <x:c r="J62" s="24" t="str">
        <x:v>NÃO</x:v>
      </x:c>
      <x:c r="K62" s="24"/>
      <x:c r="L62" s="26" t="str">
        <x:f>IF(ISNUMBER(K62),IF(K62&lt;=10,"Baixo",IF(K62&lt;=25,"Médio","Alto")),"")</x:f>
      </x:c>
      <x:c r="M62" s="27" t="n">
        <x:v>28500</x:v>
      </x:c>
      <x:c r="N62" s="27" t="str">
        <x:f>IF(AND(L62="Alto",OR(J62="Sim",J62="S")),"Negada","Passa")</x:f>
        <x:v>Passa</x:v>
      </x:c>
      <x:c r="O62" s="27" t="str">
        <x:f>IF(AND(ISNUMBER(I62),I62&gt;50000,OR(J62="Sim",J62="S")),"Negada","Passa")</x:f>
        <x:v>Passa</x:v>
      </x:c>
      <x:c r="P62" s="27" t="n">
        <x:f>IF(OR(N62="Negada",O62="Negada",A62="Inativo",A62="INATIVO"),0,IF(A62="Ativo",M62*1.08,0))</x:f>
        <x:v>0</x:v>
      </x:c>
    </x:row>
    <x:row r="63" ht="15.75" customHeight="1">
      <x:c r="A63" s="24" t="str">
        <x:v>Ativo</x:v>
      </x:c>
      <x:c r="B63" s="24" t="str">
        <x:v>Melisandre Crakehall</x:v>
      </x:c>
      <x:c r="C63" s="24" t="str">
        <x:v>000.000.268-00</x:v>
      </x:c>
      <x:c r="D63" s="24" t="n">
        <x:v>60</x:v>
      </x:c>
      <x:c r="E63" s="24" t="n">
        <x:v>24100</x:v>
      </x:c>
      <x:c r="F63" s="24" t="str">
        <x:v>Correrrio</x:v>
      </x:c>
      <x:c r="G63" s="24" t="str">
        <x:v>TERRAS FLUVIAIS</x:v>
      </x:c>
      <x:c r="H63" s="25" t="n">
        <x:v>9700</x:v>
      </x:c>
      <x:c r="I63" s="25" t="n">
        <x:v>61000</x:v>
      </x:c>
      <x:c r="J63" s="24" t="str">
        <x:v>Sim</x:v>
      </x:c>
      <x:c r="K63" s="24" t="n">
        <x:v>9</x:v>
      </x:c>
      <x:c r="L63" s="26" t="str">
        <x:f>IF(ISNUMBER(K63),IF(K63&lt;=10,"Baixo",IF(K63&lt;=25,"Médio","Alto")),"")</x:f>
        <x:v>Baixo</x:v>
      </x:c>
      <x:c r="M63" s="27" t="n">
        <x:v>88000</x:v>
      </x:c>
      <x:c r="N63" s="27" t="str">
        <x:f>IF(AND(L63="Alto",OR(J63="Sim",J63="S")),"Negada","Passa")</x:f>
        <x:v>Passa</x:v>
      </x:c>
      <x:c r="O63" s="27" t="str">
        <x:f>IF(AND(ISNUMBER(I63),I63&gt;50000,OR(J63="Sim",J63="S")),"Negada","Passa")</x:f>
        <x:v>Negada</x:v>
      </x:c>
      <x:c r="P63" s="27" t="n">
        <x:f>IF(OR(N63="Negada",O63="Negada",A63="Inativo",A63="INATIVO"),0,IF(A63="Ativo",M63*1.08,0))</x:f>
        <x:v>0</x:v>
      </x:c>
    </x:row>
    <x:row r="64" ht="15.75" customHeight="1">
      <x:c r="A64" s="24" t="str">
        <x:v>Ativo</x:v>
      </x:c>
      <x:c r="B64" s="24" t="str">
        <x:v>podrick umber</x:v>
      </x:c>
      <x:c r="C64" s="24" t="n">
        <x:v>5300</x:v>
      </x:c>
      <x:c r="D64" s="24" t="n">
        <x:v>56</x:v>
      </x:c>
      <x:c r="E64" s="24" t="n">
        <x:v>25578</x:v>
      </x:c>
      <x:c r="F64" s="24" t="str">
        <x:v>Pyke</x:v>
      </x:c>
      <x:c r="G64" s="24" t="str">
        <x:v>Ilhas de Ferro</x:v>
      </x:c>
      <x:c r="H64" s="25" t="n">
        <x:v>14900</x:v>
      </x:c>
      <x:c r="I64" s="25" t="n">
        <x:v>0</x:v>
      </x:c>
      <x:c r="J64" s="24" t="str">
        <x:v>Não</x:v>
      </x:c>
      <x:c r="K64" s="24" t="n">
        <x:v>13</x:v>
      </x:c>
      <x:c r="L64" s="26" t="str">
        <x:f>IF(ISNUMBER(K64),IF(K64&lt;=10,"Baixo",IF(K64&lt;=25,"Médio","Alto")),"")</x:f>
        <x:v>Médio</x:v>
      </x:c>
      <x:c r="M64" s="27" t="n">
        <x:v>71000</x:v>
      </x:c>
      <x:c r="N64" s="27" t="str">
        <x:f>IF(AND(L64="Alto",OR(J64="Sim",J64="S")),"Negada","Passa")</x:f>
        <x:v>Passa</x:v>
      </x:c>
      <x:c r="O64" s="27" t="str">
        <x:f>IF(AND(ISNUMBER(I64),I64&gt;50000,OR(J64="Sim",J64="S")),"Negada","Passa")</x:f>
        <x:v>Passa</x:v>
      </x:c>
      <x:c r="P64" s="27" t="n">
        <x:f>IF(OR(N64="Negada",O64="Negada",A64="Inativo",A64="INATIVO"),0,IF(A64="Ativo",M64*1.08,0))</x:f>
        <x:v>76680</x:v>
      </x:c>
    </x:row>
    <x:row r="65" ht="15.75" customHeight="1">
      <x:c r="A65" s="24" t="str">
        <x:v>Ativo</x:v>
      </x:c>
      <x:c r="B65" s="24" t="str">
        <x:v>Rickon Hornwood</x:v>
      </x:c>
      <x:c r="C65" s="24" t="str">
        <x:v>000.000.078-00</x:v>
      </x:c>
      <x:c r="D65" s="24" t="n">
        <x:v>35</x:v>
      </x:c>
      <x:c r="E65" s="24" t="n">
        <x:v>33306</x:v>
      </x:c>
      <x:c r="F65" s="24" t="str">
        <x:v>Ponta Tempestade</x:v>
      </x:c>
      <x:c r="G65" s="24" t="str">
        <x:v>Terra Da Tempestade</x:v>
      </x:c>
      <x:c r="H65" s="25" t="n">
        <x:v>9700</x:v>
      </x:c>
      <x:c r="I65" s="25"/>
      <x:c r="J65" s="24" t="str">
        <x:v>Não</x:v>
      </x:c>
      <x:c r="K65" s="24" t="n">
        <x:v>20</x:v>
      </x:c>
      <x:c r="L65" s="26" t="str">
        <x:f>IF(ISNUMBER(K65),IF(K65&lt;=10,"Baixo",IF(K65&lt;=25,"Médio","Alto")),"")</x:f>
        <x:v>Médio</x:v>
      </x:c>
      <x:c r="M65" s="27" t="n">
        <x:v>31000</x:v>
      </x:c>
      <x:c r="N65" s="27" t="str">
        <x:f>IF(AND(L65="Alto",OR(J65="Sim",J65="S")),"Negada","Passa")</x:f>
        <x:v>Passa</x:v>
      </x:c>
      <x:c r="O65" s="27" t="str">
        <x:f>IF(AND(ISNUMBER(I65),I65&gt;50000,OR(J65="Sim",J65="S")),"Negada","Passa")</x:f>
        <x:v>Passa</x:v>
      </x:c>
      <x:c r="P65" s="27" t="n">
        <x:f>IF(OR(N65="Negada",O65="Negada",A65="Inativo",A65="INATIVO"),0,IF(A65="Ativo",M65*1.08,0))</x:f>
        <x:v>33480</x:v>
      </x:c>
    </x:row>
    <x:row r="66" ht="15.75" customHeight="1">
      <x:c r="A66" s="24" t="str">
        <x:v>Ativo</x:v>
      </x:c>
      <x:c r="B66" s="24" t="str">
        <x:v>Arya Bolton</x:v>
      </x:c>
      <x:c r="C66" s="24" t="n">
        <x:v>7200</x:v>
      </x:c>
      <x:c r="D66" s="24" t="n">
        <x:v>72</x:v>
      </x:c>
      <x:c r="E66" s="24" t="str">
        <x:v>08/05/1954</x:v>
      </x:c>
      <x:c r="F66" s="24" t="str">
        <x:v>Solar do Entardecer</x:v>
      </x:c>
      <x:c r="G66" s="24" t="str">
        <x:v>Terra da Tempestade</x:v>
      </x:c>
      <x:c r="H66" s="25" t="n">
        <x:v>27100</x:v>
      </x:c>
      <x:c r="I66" s="25" t="n">
        <x:v>71000</x:v>
      </x:c>
      <x:c r="J66" s="24" t="str">
        <x:v>Não</x:v>
      </x:c>
      <x:c r="K66" s="24" t="n">
        <x:v>32</x:v>
      </x:c>
      <x:c r="L66" s="26" t="str">
        <x:f>IF(ISNUMBER(K66),IF(K66&lt;=10,"Baixo",IF(K66&lt;=25,"Médio","Alto")),"")</x:f>
        <x:v>Alto</x:v>
      </x:c>
      <x:c r="M66" s="27" t="n">
        <x:v>29500</x:v>
      </x:c>
      <x:c r="N66" s="27" t="str">
        <x:f>IF(AND(L66="Alto",OR(J66="Sim",J66="S")),"Negada","Passa")</x:f>
        <x:v>Passa</x:v>
      </x:c>
      <x:c r="O66" s="27" t="str">
        <x:f>IF(AND(ISNUMBER(I66),I66&gt;50000,OR(J66="Sim",J66="S")),"Negada","Passa")</x:f>
        <x:v>Passa</x:v>
      </x:c>
      <x:c r="P66" s="27" t="n">
        <x:f>IF(OR(N66="Negada",O66="Negada",A66="Inativo",A66="INATIVO"),0,IF(A66="Ativo",M66*1.08,0))</x:f>
        <x:v>31860.000000000004</x:v>
      </x:c>
    </x:row>
    <x:row r="67" ht="15.75" customHeight="1">
      <x:c r="A67" s="24" t="str">
        <x:v>Ativo</x:v>
      </x:c>
      <x:c r="B67" s="24" t="str">
        <x:v>Ramsay Blackwood</x:v>
      </x:c>
      <x:c r="C67" s="24" t="str">
        <x:v>000.000.035-00</x:v>
      </x:c>
      <x:c r="D67" s="24" t="n">
        <x:v>52</x:v>
      </x:c>
      <x:c r="E67" s="24" t="str">
        <x:v>04/07/1974</x:v>
      </x:c>
      <x:c r="F67" s="24" t="str">
        <x:v>Jardim de Cima | Campina</x:v>
      </x:c>
      <x:c r="G67" s="24" t="str"/>
      <x:c r="H67" s="25" t="n">
        <x:v>17500</x:v>
      </x:c>
      <x:c r="I67" s="25" t="n">
        <x:v>6500</x:v>
      </x:c>
      <x:c r="J67" s="24" t="n">
        <x:v>0</x:v>
      </x:c>
      <x:c r="K67" s="24"/>
      <x:c r="L67" s="26" t="str">
        <x:f>IF(ISNUMBER(K67),IF(K67&lt;=10,"Baixo",IF(K67&lt;=25,"Médio","Alto")),"")</x:f>
      </x:c>
      <x:c r="M67" s="27" t="n">
        <x:v>42500</x:v>
      </x:c>
      <x:c r="N67" s="27" t="str">
        <x:f>IF(AND(L67="Alto",OR(J67="Sim",J67="S")),"Negada","Passa")</x:f>
        <x:v>Passa</x:v>
      </x:c>
      <x:c r="O67" s="27" t="str">
        <x:f>IF(AND(ISNUMBER(I67),I67&gt;50000,OR(J67="Sim",J67="S")),"Negada","Passa")</x:f>
        <x:v>Passa</x:v>
      </x:c>
      <x:c r="P67" s="27" t="n">
        <x:f>IF(OR(N67="Negada",O67="Negada",A67="Inativo",A67="INATIVO"),0,IF(A67="Ativo",M67*1.08,0))</x:f>
        <x:v>45900</x:v>
      </x:c>
    </x:row>
    <x:row r="68" ht="15.75" customHeight="1">
      <x:c r="A68" s="24" t="str">
        <x:v>Ativo</x:v>
      </x:c>
      <x:c r="B68" s="24" t="str">
        <x:v>Davos Royce</x:v>
      </x:c>
      <x:c r="C68" s="24" t="n">
        <x:v>3300</x:v>
      </x:c>
      <x:c r="D68" s="24" t="n">
        <x:v>31</x:v>
      </x:c>
      <x:c r="E68" s="24" t="str">
        <x:v>03/08/1995</x:v>
      </x:c>
      <x:c r="F68" s="24" t="str">
        <x:v>Pyke</x:v>
      </x:c>
      <x:c r="G68" s="24" t="str">
        <x:v>Ilhas de Ferro</x:v>
      </x:c>
      <x:c r="H68" s="25" t="str">
        <x:v>20800 moedas</x:v>
      </x:c>
      <x:c r="I68" s="25" t="n">
        <x:v>17500</x:v>
      </x:c>
      <x:c r="J68" s="24" t="str">
        <x:v>Não</x:v>
      </x:c>
      <x:c r="K68" s="24" t="n">
        <x:v>35</x:v>
      </x:c>
      <x:c r="L68" s="26" t="str">
        <x:f>IF(ISNUMBER(K68),IF(K68&lt;=10,"Baixo",IF(K68&lt;=25,"Médio","Alto")),"")</x:f>
        <x:v>Alto</x:v>
      </x:c>
      <x:c r="M68" s="27" t="n">
        <x:v>58000</x:v>
      </x:c>
      <x:c r="N68" s="27" t="str">
        <x:f>IF(AND(L68="Alto",OR(J68="Sim",J68="S")),"Negada","Passa")</x:f>
        <x:v>Passa</x:v>
      </x:c>
      <x:c r="O68" s="27" t="str">
        <x:f>IF(AND(ISNUMBER(I68),I68&gt;50000,OR(J68="Sim",J68="S")),"Negada","Passa")</x:f>
        <x:v>Passa</x:v>
      </x:c>
      <x:c r="P68" s="27" t="n">
        <x:f>IF(OR(N68="Negada",O68="Negada",A68="Inativo",A68="INATIVO"),0,IF(A68="Ativo",M68*1.08,0))</x:f>
        <x:v>62640.00000000001</x:v>
      </x:c>
    </x:row>
    <x:row r="69" ht="15.75" customHeight="1">
      <x:c r="A69" s="24" t="str">
        <x:v>Ativo</x:v>
      </x:c>
      <x:c r="B69" s="24" t="str">
        <x:v>Daario Tarth</x:v>
      </x:c>
      <x:c r="C69" s="24" t="n">
        <x:v>25500</x:v>
      </x:c>
      <x:c r="D69" s="24" t="n">
        <x:v>70</x:v>
      </x:c>
      <x:c r="E69" s="24" t="str">
        <x:v>14/08/1956</x:v>
      </x:c>
      <x:c r="F69" s="24" t="str">
        <x:v>Braavos | Essos</x:v>
      </x:c>
      <x:c r="G69" s="24" t="str"/>
      <x:c r="H69" s="25" t="n">
        <x:v>15800</x:v>
      </x:c>
      <x:c r="I69" s="25" t="str">
        <x:v>17500 moedas</x:v>
      </x:c>
      <x:c r="J69" s="24" t="str">
        <x:v>Não</x:v>
      </x:c>
      <x:c r="K69" s="24" t="n">
        <x:v>18</x:v>
      </x:c>
      <x:c r="L69" s="26" t="str">
        <x:f>IF(ISNUMBER(K69),IF(K69&lt;=10,"Baixo",IF(K69&lt;=25,"Médio","Alto")),"")</x:f>
        <x:v>Médio</x:v>
      </x:c>
      <x:c r="M69" s="27" t="n">
        <x:v>91000</x:v>
      </x:c>
      <x:c r="N69" s="27" t="str">
        <x:f>IF(AND(L69="Alto",OR(J69="Sim",J69="S")),"Negada","Passa")</x:f>
        <x:v>Passa</x:v>
      </x:c>
      <x:c r="O69" s="27" t="str">
        <x:f>IF(AND(ISNUMBER(I69),I69&gt;50000,OR(J69="Sim",J69="S")),"Negada","Passa")</x:f>
        <x:v>Passa</x:v>
      </x:c>
      <x:c r="P69" s="27" t="n">
        <x:f>IF(OR(N69="Negada",O69="Negada",A69="Inativo",A69="INATIVO"),0,IF(A69="Ativo",M69*1.08,0))</x:f>
        <x:v>98280</x:v>
      </x:c>
    </x:row>
    <x:row r="70" ht="15.75" customHeight="1">
      <x:c r="A70" s="24" t="str">
        <x:v>INATIVO</x:v>
      </x:c>
      <x:c r="B70" s="24" t="str">
        <x:v>Robert Payne</x:v>
      </x:c>
      <x:c r="C70" s="24" t="str">
        <x:v>000.000.068-00</x:v>
      </x:c>
      <x:c r="D70" s="24" t="n">
        <x:v>57</x:v>
      </x:c>
      <x:c r="E70" s="24" t="str">
        <x:v>05/11/1968</x:v>
      </x:c>
      <x:c r="F70" s="24" t="str">
        <x:v>Monte Chifre</x:v>
      </x:c>
      <x:c r="G70" s="24" t="str">
        <x:v>Campina</x:v>
      </x:c>
      <x:c r="H70" s="25" t="n">
        <x:v>26300</x:v>
      </x:c>
      <x:c r="I70" s="25" t="n">
        <x:v>75500</x:v>
      </x:c>
      <x:c r="J70" s="24" t="str">
        <x:v>Sim</x:v>
      </x:c>
      <x:c r="K70" s="24" t="n">
        <x:v>25</x:v>
      </x:c>
      <x:c r="L70" s="26" t="str">
        <x:f>IF(ISNUMBER(K70),IF(K70&lt;=10,"Baixo",IF(K70&lt;=25,"Médio","Alto")),"")</x:f>
        <x:v>Médio</x:v>
      </x:c>
      <x:c r="M70" s="27" t="n">
        <x:v>44000</x:v>
      </x:c>
      <x:c r="N70" s="27" t="str">
        <x:f>IF(AND(L70="Alto",OR(J70="Sim",J70="S")),"Negada","Passa")</x:f>
        <x:v>Passa</x:v>
      </x:c>
      <x:c r="O70" s="27" t="str">
        <x:f>IF(AND(ISNUMBER(I70),I70&gt;50000,OR(J70="Sim",J70="S")),"Negada","Passa")</x:f>
        <x:v>Negada</x:v>
      </x:c>
      <x:c r="P70" s="27" t="n">
        <x:f>IF(OR(N70="Negada",O70="Negada",A70="Inativo",A70="INATIVO"),0,IF(A70="Ativo",M70*1.08,0))</x:f>
        <x:v>0</x:v>
      </x:c>
    </x:row>
    <x:row r="71" ht="15.75" customHeight="1">
      <x:c r="A71" s="24" t="str">
        <x:v>Ativo</x:v>
      </x:c>
      <x:c r="B71" s="24" t="str">
        <x:v>Roose Baelish</x:v>
      </x:c>
      <x:c r="C71" s="24" t="str">
        <x:v>000.000.366-00</x:v>
      </x:c>
      <x:c r="D71" s="24" t="n">
        <x:v>28</x:v>
      </x:c>
      <x:c r="E71" s="24" t="n">
        <x:v>35948</x:v>
      </x:c>
      <x:c r="F71" s="24" t="str">
        <x:v>Harrenhal | Terras Fluviais</x:v>
      </x:c>
      <x:c r="G71" s="24" t="str"/>
      <x:c r="H71" s="25" t="n">
        <x:v>14600</x:v>
      </x:c>
      <x:c r="I71" s="25" t="n">
        <x:v>23000</x:v>
      </x:c>
      <x:c r="J71" s="24" t="n">
        <x:v>1</x:v>
      </x:c>
      <x:c r="K71" s="24" t="n">
        <x:v>22</x:v>
      </x:c>
      <x:c r="L71" s="26" t="str">
        <x:f>IF(ISNUMBER(K71),IF(K71&lt;=10,"Baixo",IF(K71&lt;=25,"Médio","Alto")),"")</x:f>
        <x:v>Médio</x:v>
      </x:c>
      <x:c r="M71" s="27" t="n">
        <x:v>99000</x:v>
      </x:c>
      <x:c r="N71" s="27" t="str">
        <x:f>IF(AND(L71="Alto",OR(J71="Sim",J71="S")),"Negada","Passa")</x:f>
        <x:v>Passa</x:v>
      </x:c>
      <x:c r="O71" s="27" t="str">
        <x:f>IF(AND(ISNUMBER(I71),I71&gt;50000,OR(J71="Sim",J71="S")),"Negada","Passa")</x:f>
        <x:v>Passa</x:v>
      </x:c>
      <x:c r="P71" s="27" t="n">
        <x:f>IF(OR(N71="Negada",O71="Negada",A71="Inativo",A71="INATIVO"),0,IF(A71="Ativo",M71*1.08,0))</x:f>
        <x:v>106920</x:v>
      </x:c>
    </x:row>
    <x:row r="72" ht="15.75" customHeight="1">
      <x:c r="A72" s="24" t="str">
        <x:v>Ativo</x:v>
      </x:c>
      <x:c r="B72" s="24" t="str">
        <x:v>Missandei Arryn</x:v>
      </x:c>
      <x:c r="C72" s="24" t="str">
        <x:v>000.000.368-00</x:v>
      </x:c>
      <x:c r="D72" s="24" t="n">
        <x:v>50</x:v>
      </x:c>
      <x:c r="E72" s="24" t="n">
        <x:v>27729</x:v>
      </x:c>
      <x:c r="F72" s="24" t="str">
        <x:v>Pedra do Dragão</x:v>
      </x:c>
      <x:c r="G72" s="24" t="str">
        <x:v>terras da coroa</x:v>
      </x:c>
      <x:c r="H72" s="25" t="n">
        <x:v>22800</x:v>
      </x:c>
      <x:c r="I72" s="25" t="n">
        <x:v>70000</x:v>
      </x:c>
      <x:c r="J72" s="24" t="str">
        <x:v>Sim</x:v>
      </x:c>
      <x:c r="K72" s="24" t="n">
        <x:v>14</x:v>
      </x:c>
      <x:c r="L72" s="26" t="str">
        <x:f>IF(ISNUMBER(K72),IF(K72&lt;=10,"Baixo",IF(K72&lt;=25,"Médio","Alto")),"")</x:f>
        <x:v>Médio</x:v>
      </x:c>
      <x:c r="M72" s="27" t="n">
        <x:v>25500</x:v>
      </x:c>
      <x:c r="N72" s="27" t="str">
        <x:f>IF(AND(L72="Alto",OR(J72="Sim",J72="S")),"Negada","Passa")</x:f>
        <x:v>Passa</x:v>
      </x:c>
      <x:c r="O72" s="27" t="str">
        <x:f>IF(AND(ISNUMBER(I72),I72&gt;50000,OR(J72="Sim",J72="S")),"Negada","Passa")</x:f>
        <x:v>Negada</x:v>
      </x:c>
      <x:c r="P72" s="27" t="n">
        <x:f>IF(OR(N72="Negada",O72="Negada",A72="Inativo",A72="INATIVO"),0,IF(A72="Ativo",M72*1.08,0))</x:f>
        <x:v>0</x:v>
      </x:c>
    </x:row>
    <x:row r="73" ht="15.75" customHeight="1">
      <x:c r="A73" s="24" t="str">
        <x:v>Inativo</x:v>
      </x:c>
      <x:c r="B73" s="24" t="str">
        <x:v>Jaime Seaworth</x:v>
      </x:c>
      <x:c r="C73" s="24" t="str">
        <x:v>000.000.371-00</x:v>
      </x:c>
      <x:c r="D73" s="24" t="n">
        <x:v>68</x:v>
      </x:c>
      <x:c r="E73" s="24" t="str">
        <x:v>05/01/1958</x:v>
      </x:c>
      <x:c r="F73" s="24" t="str">
        <x:v>Castelo Negro</x:v>
      </x:c>
      <x:c r="G73" s="24" t="str">
        <x:v>NORTE</x:v>
      </x:c>
      <x:c r="H73" s="25" t="n">
        <x:v>2800</x:v>
      </x:c>
      <x:c r="I73" s="25" t="n">
        <x:v>76000</x:v>
      </x:c>
      <x:c r="J73" s="24" t="str">
        <x:v>Não</x:v>
      </x:c>
      <x:c r="K73" s="24" t="str">
        <x:v>44 batalhas</x:v>
      </x:c>
      <x:c r="L73" s="26" t="str">
        <x:f>IF(ISNUMBER(K73),IF(K73&lt;=10,"Baixo",IF(K73&lt;=25,"Médio","Alto")),"")</x:f>
      </x:c>
      <x:c r="M73" s="27" t="n">
        <x:v>27000</x:v>
      </x:c>
      <x:c r="N73" s="27" t="str">
        <x:f>IF(AND(L73="Alto",OR(J73="Sim",J73="S")),"Negada","Passa")</x:f>
        <x:v>Passa</x:v>
      </x:c>
      <x:c r="O73" s="27" t="str">
        <x:f>IF(AND(ISNUMBER(I73),I73&gt;50000,OR(J73="Sim",J73="S")),"Negada","Passa")</x:f>
        <x:v>Passa</x:v>
      </x:c>
      <x:c r="P73" s="27" t="n">
        <x:f>IF(OR(N73="Negada",O73="Negada",A73="Inativo",A73="INATIVO"),0,IF(A73="Ativo",M73*1.08,0))</x:f>
        <x:v>0</x:v>
      </x:c>
    </x:row>
    <x:row r="74" ht="15.75" customHeight="1">
      <x:c r="A74" s="24" t="str">
        <x:v>Ativo</x:v>
      </x:c>
      <x:c r="B74" s="24" t="str">
        <x:v>Podrick Stark</x:v>
      </x:c>
      <x:c r="C74" s="24" t="str">
        <x:v>000.000.029-00</x:v>
      </x:c>
      <x:c r="D74" s="24" t="n">
        <x:v>40</x:v>
      </x:c>
      <x:c r="E74" s="24" t="str">
        <x:v>15/02/1986</x:v>
      </x:c>
      <x:c r="F74" s="24" t="str">
        <x:v>Ilha dos Ursos | Norte</x:v>
      </x:c>
      <x:c r="G74" s="24" t="str"/>
      <x:c r="H74" s="25" t="n">
        <x:v>21300</x:v>
      </x:c>
      <x:c r="I74" s="25" t="n">
        <x:v>48500</x:v>
      </x:c>
      <x:c r="J74" s="24" t="str">
        <x:v>Não</x:v>
      </x:c>
      <x:c r="K74" s="24" t="n">
        <x:v>6</x:v>
      </x:c>
      <x:c r="L74" s="26" t="str">
        <x:f>IF(ISNUMBER(K74),IF(K74&lt;=10,"Baixo",IF(K74&lt;=25,"Médio","Alto")),"")</x:f>
        <x:v>Baixo</x:v>
      </x:c>
      <x:c r="M74" s="27" t="n">
        <x:v>62500</x:v>
      </x:c>
      <x:c r="N74" s="27" t="str">
        <x:f>IF(AND(L74="Alto",OR(J74="Sim",J74="S")),"Negada","Passa")</x:f>
        <x:v>Passa</x:v>
      </x:c>
      <x:c r="O74" s="27" t="str">
        <x:f>IF(AND(ISNUMBER(I74),I74&gt;50000,OR(J74="Sim",J74="S")),"Negada","Passa")</x:f>
        <x:v>Passa</x:v>
      </x:c>
      <x:c r="P74" s="27" t="n">
        <x:f>IF(OR(N74="Negada",O74="Negada",A74="Inativo",A74="INATIVO"),0,IF(A74="Ativo",M74*1.08,0))</x:f>
        <x:v>67500</x:v>
      </x:c>
    </x:row>
    <x:row r="75" ht="15.75" customHeight="1">
      <x:c r="A75" s="24" t="str"/>
      <x:c r="B75" s="24" t="str">
        <x:v>Viserys Hightower</x:v>
      </x:c>
      <x:c r="C75" s="24" t="str">
        <x:v>000.000.262-00</x:v>
      </x:c>
      <x:c r="D75" s="24" t="n">
        <x:v>61</x:v>
      </x:c>
      <x:c r="E75" s="24" t="n">
        <x:v>23834</x:v>
      </x:c>
      <x:c r="F75" s="24" t="str">
        <x:v>Monte Chifre</x:v>
      </x:c>
      <x:c r="G75" s="24" t="str">
        <x:v>Campina</x:v>
      </x:c>
      <x:c r="H75" s="25" t="n">
        <x:v>9100</x:v>
      </x:c>
      <x:c r="I75" s="25" t="str">
        <x:v>49000 moedas</x:v>
      </x:c>
      <x:c r="J75" s="24" t="str">
        <x:v>Não</x:v>
      </x:c>
      <x:c r="K75" s="24" t="n">
        <x:v>1</x:v>
      </x:c>
      <x:c r="L75" s="26" t="str">
        <x:f>IF(ISNUMBER(K75),IF(K75&lt;=10,"Baixo",IF(K75&lt;=25,"Médio","Alto")),"")</x:f>
        <x:v>Baixo</x:v>
      </x:c>
      <x:c r="M75" s="27" t="n">
        <x:v>48000</x:v>
      </x:c>
      <x:c r="N75" s="27" t="str">
        <x:f>IF(AND(L75="Alto",OR(J75="Sim",J75="S")),"Negada","Passa")</x:f>
        <x:v>Passa</x:v>
      </x:c>
      <x:c r="O75" s="27" t="str">
        <x:f>IF(AND(ISNUMBER(I75),I75&gt;50000,OR(J75="Sim",J75="S")),"Negada","Passa")</x:f>
        <x:v>Passa</x:v>
      </x:c>
      <x:c r="P75" s="27" t="n">
        <x:f>IF(OR(N75="Negada",O75="Negada",A75="Inativo",A75="INATIVO"),0,IF(A75="Ativo",M75*1.08,0))</x:f>
        <x:v>0</x:v>
      </x:c>
    </x:row>
    <x:row r="76" ht="15.75" customHeight="1">
      <x:c r="A76" s="24" t="str">
        <x:v>Ativo</x:v>
      </x:c>
      <x:c r="B76" s="24" t="str">
        <x:v>Jorah Stark</x:v>
      </x:c>
      <x:c r="C76" s="24" t="str">
        <x:v>000.000.021-00</x:v>
      </x:c>
      <x:c r="D76" s="24" t="n">
        <x:v>45</x:v>
      </x:c>
      <x:c r="E76" s="24" t="str">
        <x:v>20/12/1980</x:v>
      </x:c>
      <x:c r="F76" s="24" t="str">
        <x:v>Braavos</x:v>
      </x:c>
      <x:c r="G76" s="24" t="str">
        <x:v>ESSOS</x:v>
      </x:c>
      <x:c r="H76" s="25" t="n">
        <x:v>16200</x:v>
      </x:c>
      <x:c r="I76" s="25" t="n">
        <x:v>59000</x:v>
      </x:c>
      <x:c r="J76" s="24" t="str">
        <x:v>Não</x:v>
      </x:c>
      <x:c r="K76" s="24" t="n">
        <x:v>4</x:v>
      </x:c>
      <x:c r="L76" s="26" t="str">
        <x:f>IF(ISNUMBER(K76),IF(K76&lt;=10,"Baixo",IF(K76&lt;=25,"Médio","Alto")),"")</x:f>
        <x:v>Baixo</x:v>
      </x:c>
      <x:c r="M76" s="27" t="n">
        <x:v>73500</x:v>
      </x:c>
      <x:c r="N76" s="27" t="str">
        <x:f>IF(AND(L76="Alto",OR(J76="Sim",J76="S")),"Negada","Passa")</x:f>
        <x:v>Passa</x:v>
      </x:c>
      <x:c r="O76" s="27" t="str">
        <x:f>IF(AND(ISNUMBER(I76),I76&gt;50000,OR(J76="Sim",J76="S")),"Negada","Passa")</x:f>
        <x:v>Passa</x:v>
      </x:c>
      <x:c r="P76" s="27" t="n">
        <x:f>IF(OR(N76="Negada",O76="Negada",A76="Inativo",A76="INATIVO"),0,IF(A76="Ativo",M76*1.08,0))</x:f>
        <x:v>79380</x:v>
      </x:c>
    </x:row>
    <x:row r="77" ht="15.75" customHeight="1">
      <x:c r="A77" s="24" t="str">
        <x:v>Inativo</x:v>
      </x:c>
      <x:c r="B77" s="24" t="str">
        <x:v>Roose Frey</x:v>
      </x:c>
      <x:c r="C77" s="24" t="str">
        <x:v>000.000.292-00</x:v>
      </x:c>
      <x:c r="D77" s="24" t="n">
        <x:v>62</x:v>
      </x:c>
      <x:c r="E77" s="24" t="n">
        <x:v>23358</x:v>
      </x:c>
      <x:c r="F77" s="24" t="str">
        <x:v>Jardim de Cima</x:v>
      </x:c>
      <x:c r="G77" s="24" t="str">
        <x:v>Campina</x:v>
      </x:c>
      <x:c r="H77" s="25" t="n">
        <x:v>14600</x:v>
      </x:c>
      <x:c r="I77" s="25" t="n">
        <x:v>15500</x:v>
      </x:c>
      <x:c r="J77" s="24" t="str"/>
      <x:c r="K77" s="24" t="n">
        <x:v>2</x:v>
      </x:c>
      <x:c r="L77" s="26" t="str">
        <x:f>IF(ISNUMBER(K77),IF(K77&lt;=10,"Baixo",IF(K77&lt;=25,"Médio","Alto")),"")</x:f>
        <x:v>Baixo</x:v>
      </x:c>
      <x:c r="M77" s="27" t="n">
        <x:v>2500</x:v>
      </x:c>
      <x:c r="N77" s="27" t="str">
        <x:f>IF(AND(L77="Alto",OR(J77="Sim",J77="S")),"Negada","Passa")</x:f>
        <x:v>Passa</x:v>
      </x:c>
      <x:c r="O77" s="27" t="str">
        <x:f>IF(AND(ISNUMBER(I77),I77&gt;50000,OR(J77="Sim",J77="S")),"Negada","Passa")</x:f>
        <x:v>Passa</x:v>
      </x:c>
      <x:c r="P77" s="27" t="n">
        <x:f>IF(OR(N77="Negada",O77="Negada",A77="Inativo",A77="INATIVO"),0,IF(A77="Ativo",M77*1.08,0))</x:f>
        <x:v>0</x:v>
      </x:c>
    </x:row>
    <x:row r="78" ht="15.75" customHeight="1">
      <x:c r="A78" s="24" t="str">
        <x:v>Ativo</x:v>
      </x:c>
      <x:c r="B78" s="24" t="str">
        <x:v>Bran Frey</x:v>
      </x:c>
      <x:c r="C78" s="24" t="str">
        <x:v>000.000.189-00</x:v>
      </x:c>
      <x:c r="D78" s="24" t="n">
        <x:v>39</x:v>
      </x:c>
      <x:c r="E78" s="24" t="str">
        <x:v>10/07/1987</x:v>
      </x:c>
      <x:c r="F78" s="24" t="str">
        <x:v>Ilha dos Ursos | Norte</x:v>
      </x:c>
      <x:c r="G78" s="24" t="str"/>
      <x:c r="H78" s="25" t="n">
        <x:v>8000</x:v>
      </x:c>
      <x:c r="I78" s="25" t="n">
        <x:v>69000</x:v>
      </x:c>
      <x:c r="J78" s="24" t="str">
        <x:v>Não</x:v>
      </x:c>
      <x:c r="K78" s="24" t="n">
        <x:v>15</x:v>
      </x:c>
      <x:c r="L78" s="26" t="str">
        <x:f>IF(ISNUMBER(K78),IF(K78&lt;=10,"Baixo",IF(K78&lt;=25,"Médio","Alto")),"")</x:f>
        <x:v>Médio</x:v>
      </x:c>
      <x:c r="M78" s="27" t="n">
        <x:v>6500</x:v>
      </x:c>
      <x:c r="N78" s="27" t="str">
        <x:f>IF(AND(L78="Alto",OR(J78="Sim",J78="S")),"Negada","Passa")</x:f>
        <x:v>Passa</x:v>
      </x:c>
      <x:c r="O78" s="27" t="str">
        <x:f>IF(AND(ISNUMBER(I78),I78&gt;50000,OR(J78="Sim",J78="S")),"Negada","Passa")</x:f>
        <x:v>Passa</x:v>
      </x:c>
      <x:c r="P78" s="27" t="n">
        <x:f>IF(OR(N78="Negada",O78="Negada",A78="Inativo",A78="INATIVO"),0,IF(A78="Ativo",M78*1.08,0))</x:f>
        <x:v>7020.000000000001</x:v>
      </x:c>
    </x:row>
    <x:row r="79" ht="15.75" customHeight="1">
      <x:c r="A79" s="24" t="str">
        <x:v>Ativo</x:v>
      </x:c>
      <x:c r="B79" s="24" t="str">
        <x:v>Tyrion Westerling</x:v>
      </x:c>
      <x:c r="C79" s="24" t="n">
        <x:v>29000</x:v>
      </x:c>
      <x:c r="D79" s="24" t="n">
        <x:v>50</x:v>
      </x:c>
      <x:c r="E79" s="24" t="str"/>
      <x:c r="F79" s="24" t="str">
        <x:v>Correrrio</x:v>
      </x:c>
      <x:c r="G79" s="24" t="str">
        <x:v>Terras Fluviais</x:v>
      </x:c>
      <x:c r="H79" s="25" t="n">
        <x:v>23100</x:v>
      </x:c>
      <x:c r="I79" s="25" t="n">
        <x:v>55000</x:v>
      </x:c>
      <x:c r="J79" s="24" t="str">
        <x:v>Não</x:v>
      </x:c>
      <x:c r="K79" s="24" t="n">
        <x:v>9</x:v>
      </x:c>
      <x:c r="L79" s="26" t="str">
        <x:f>IF(ISNUMBER(K79),IF(K79&lt;=10,"Baixo",IF(K79&lt;=25,"Médio","Alto")),"")</x:f>
        <x:v>Baixo</x:v>
      </x:c>
      <x:c r="M79" s="27" t="n">
        <x:v>17000</x:v>
      </x:c>
      <x:c r="N79" s="27" t="str">
        <x:f>IF(AND(L79="Alto",OR(J79="Sim",J79="S")),"Negada","Passa")</x:f>
        <x:v>Passa</x:v>
      </x:c>
      <x:c r="O79" s="27" t="str">
        <x:f>IF(AND(ISNUMBER(I79),I79&gt;50000,OR(J79="Sim",J79="S")),"Negada","Passa")</x:f>
        <x:v>Passa</x:v>
      </x:c>
      <x:c r="P79" s="27" t="n">
        <x:f>IF(OR(N79="Negada",O79="Negada",A79="Inativo",A79="INATIVO"),0,IF(A79="Ativo",M79*1.08,0))</x:f>
        <x:v>18360</x:v>
      </x:c>
    </x:row>
    <x:row r="80" ht="15.75" customHeight="1">
      <x:c r="A80" s="24" t="str">
        <x:v>Inativo</x:v>
      </x:c>
      <x:c r="B80" s="24" t="str">
        <x:v>Jaime Bracken</x:v>
      </x:c>
      <x:c r="C80" s="24" t="n">
        <x:v>16600</x:v>
      </x:c>
      <x:c r="D80" s="24" t="n">
        <x:v>35</x:v>
      </x:c>
      <x:c r="E80" s="24" t="n">
        <x:v>33417</x:v>
      </x:c>
      <x:c r="F80" s="24" t="str">
        <x:v>Jardim de Cima</x:v>
      </x:c>
      <x:c r="G80" s="24" t="str">
        <x:v>campina</x:v>
      </x:c>
      <x:c r="H80" s="25" t="n">
        <x:v>12400</x:v>
      </x:c>
      <x:c r="I80" s="25" t="n">
        <x:v>36000</x:v>
      </x:c>
      <x:c r="J80" s="24" t="str">
        <x:v>Não</x:v>
      </x:c>
      <x:c r="K80" s="24" t="n">
        <x:v>3</x:v>
      </x:c>
      <x:c r="L80" s="26" t="str">
        <x:f>IF(ISNUMBER(K80),IF(K80&lt;=10,"Baixo",IF(K80&lt;=25,"Médio","Alto")),"")</x:f>
        <x:v>Baixo</x:v>
      </x:c>
      <x:c r="M80" s="27" t="n">
        <x:v>71500</x:v>
      </x:c>
      <x:c r="N80" s="27" t="str">
        <x:f>IF(AND(L80="Alto",OR(J80="Sim",J80="S")),"Negada","Passa")</x:f>
        <x:v>Passa</x:v>
      </x:c>
      <x:c r="O80" s="27" t="str">
        <x:f>IF(AND(ISNUMBER(I80),I80&gt;50000,OR(J80="Sim",J80="S")),"Negada","Passa")</x:f>
        <x:v>Passa</x:v>
      </x:c>
      <x:c r="P80" s="27" t="n">
        <x:f>IF(OR(N80="Negada",O80="Negada",A80="Inativo",A80="INATIVO"),0,IF(A80="Ativo",M80*1.08,0))</x:f>
        <x:v>0</x:v>
      </x:c>
    </x:row>
    <x:row r="81" ht="15.75" customHeight="1">
      <x:c r="A81" s="24" t="str"/>
      <x:c r="B81" s="24" t="str">
        <x:v>Shae Blackwood</x:v>
      </x:c>
      <x:c r="C81" s="24" t="n">
        <x:v>14500</x:v>
      </x:c>
      <x:c r="D81" s="24" t="n">
        <x:v>64</x:v>
      </x:c>
      <x:c r="E81" s="24" t="str">
        <x:v>18/07/1962</x:v>
      </x:c>
      <x:c r="F81" s="24" t="str">
        <x:v>Atalaia da Água Cinzenta | Gargalo</x:v>
      </x:c>
      <x:c r="G81" s="24" t="str"/>
      <x:c r="H81" s="25" t="n">
        <x:v>9400</x:v>
      </x:c>
      <x:c r="I81" s="25" t="str">
        <x:v>N/A</x:v>
      </x:c>
      <x:c r="J81" s="24" t="str">
        <x:v>Não</x:v>
      </x:c>
      <x:c r="K81" s="24" t="n">
        <x:v>9</x:v>
      </x:c>
      <x:c r="L81" s="26" t="str">
        <x:f>IF(ISNUMBER(K81),IF(K81&lt;=10,"Baixo",IF(K81&lt;=25,"Médio","Alto")),"")</x:f>
        <x:v>Baixo</x:v>
      </x:c>
      <x:c r="M81" s="27" t="n">
        <x:v>14500</x:v>
      </x:c>
      <x:c r="N81" s="27" t="str">
        <x:f>IF(AND(L81="Alto",OR(J81="Sim",J81="S")),"Negada","Passa")</x:f>
        <x:v>Passa</x:v>
      </x:c>
      <x:c r="O81" s="27" t="str">
        <x:f>IF(AND(ISNUMBER(I81),I81&gt;50000,OR(J81="Sim",J81="S")),"Negada","Passa")</x:f>
        <x:v>Passa</x:v>
      </x:c>
      <x:c r="P81" s="27" t="n">
        <x:f>IF(OR(N81="Negada",O81="Negada",A81="Inativo",A81="INATIVO"),0,IF(A81="Ativo",M81*1.08,0))</x:f>
        <x:v>0</x:v>
      </x:c>
    </x:row>
    <x:row r="82" ht="15.75" customHeight="1">
      <x:c r="A82" s="24" t="str">
        <x:v>Ativo</x:v>
      </x:c>
      <x:c r="B82" s="24" t="str">
        <x:v>Aegon Clegane</x:v>
      </x:c>
      <x:c r="C82" s="24" t="str">
        <x:v>000.000.330-00</x:v>
      </x:c>
      <x:c r="D82" s="24" t="n">
        <x:v>36</x:v>
      </x:c>
      <x:c r="E82" s="24" t="n">
        <x:v>32908</x:v>
      </x:c>
      <x:c r="F82" s="24" t="str">
        <x:v>Meereen</x:v>
      </x:c>
      <x:c r="G82" s="24" t="str">
        <x:v>Essos</x:v>
      </x:c>
      <x:c r="H82" s="25" t="str">
        <x:v>16600 moedas</x:v>
      </x:c>
      <x:c r="I82" s="25" t="n">
        <x:v>23500</x:v>
      </x:c>
      <x:c r="J82" s="24" t="str">
        <x:v>Não</x:v>
      </x:c>
      <x:c r="K82" s="24" t="n">
        <x:v>10</x:v>
      </x:c>
      <x:c r="L82" s="26" t="str">
        <x:f>IF(ISNUMBER(K82),IF(K82&lt;=10,"Baixo",IF(K82&lt;=25,"Médio","Alto")),"")</x:f>
        <x:v>Baixo</x:v>
      </x:c>
      <x:c r="M82" s="27" t="n">
        <x:v>21500</x:v>
      </x:c>
      <x:c r="N82" s="27" t="str">
        <x:f>IF(AND(L82="Alto",OR(J82="Sim",J82="S")),"Negada","Passa")</x:f>
        <x:v>Passa</x:v>
      </x:c>
      <x:c r="O82" s="27" t="str">
        <x:f>IF(AND(ISNUMBER(I82),I82&gt;50000,OR(J82="Sim",J82="S")),"Negada","Passa")</x:f>
        <x:v>Passa</x:v>
      </x:c>
      <x:c r="P82" s="27" t="n">
        <x:f>IF(OR(N82="Negada",O82="Negada",A82="Inativo",A82="INATIVO"),0,IF(A82="Ativo",M82*1.08,0))</x:f>
        <x:v>23220</x:v>
      </x:c>
    </x:row>
    <x:row r="83" ht="15.75" customHeight="1">
      <x:c r="A83" s="24" t="str">
        <x:v>Ativo</x:v>
      </x:c>
      <x:c r="B83" s="24" t="str">
        <x:v>Margaery Redwyne</x:v>
      </x:c>
      <x:c r="C83" s="24" t="n">
        <x:v>1800</x:v>
      </x:c>
      <x:c r="D83" s="24" t="n">
        <x:v>26</x:v>
      </x:c>
      <x:c r="E83" s="24" t="n">
        <x:v>36757</x:v>
      </x:c>
      <x:c r="F83" s="24" t="str">
        <x:v>Monte Chifre</x:v>
      </x:c>
      <x:c r="G83" s="24" t="str">
        <x:v>CAMPINA</x:v>
      </x:c>
      <x:c r="H83" s="25" t="n">
        <x:v>18400</x:v>
      </x:c>
      <x:c r="I83" s="25" t="n">
        <x:v>0</x:v>
      </x:c>
      <x:c r="J83" s="24" t="str">
        <x:v>Sim</x:v>
      </x:c>
      <x:c r="K83" s="24" t="n">
        <x:v>31</x:v>
      </x:c>
      <x:c r="L83" s="26" t="str">
        <x:f>IF(ISNUMBER(K83),IF(K83&lt;=10,"Baixo",IF(K83&lt;=25,"Médio","Alto")),"")</x:f>
        <x:v>Alto</x:v>
      </x:c>
      <x:c r="M83" s="27" t="n">
        <x:v>89500</x:v>
      </x:c>
      <x:c r="N83" s="27" t="str">
        <x:f>IF(AND(L83="Alto",OR(J83="Sim",J83="S")),"Negada","Passa")</x:f>
        <x:v>Negada</x:v>
      </x:c>
      <x:c r="O83" s="27" t="str">
        <x:f>IF(AND(ISNUMBER(I83),I83&gt;50000,OR(J83="Sim",J83="S")),"Negada","Passa")</x:f>
        <x:v>Passa</x:v>
      </x:c>
      <x:c r="P83" s="27" t="n">
        <x:f>IF(OR(N83="Negada",O83="Negada",A83="Inativo",A83="INATIVO"),0,IF(A83="Ativo",M83*1.08,0))</x:f>
        <x:v>0</x:v>
      </x:c>
    </x:row>
    <x:row r="84" ht="15.75" customHeight="1">
      <x:c r="A84" s="24" t="str">
        <x:v>Inativo</x:v>
      </x:c>
      <x:c r="B84" s="24" t="str">
        <x:v>Jeor Mallister</x:v>
      </x:c>
      <x:c r="C84" s="24" t="str">
        <x:v>000.000.162-00</x:v>
      </x:c>
      <x:c r="D84" s="24" t="n">
        <x:v>47</x:v>
      </x:c>
      <x:c r="E84" s="24" t="n">
        <x:v>29064</x:v>
      </x:c>
      <x:c r="F84" s="24" t="str">
        <x:v>Correrrio</x:v>
      </x:c>
      <x:c r="G84" s="24" t="str">
        <x:v>Terras Fluviais</x:v>
      </x:c>
      <x:c r="H84" s="25" t="n">
        <x:v>13300</x:v>
      </x:c>
      <x:c r="I84" s="25" t="n">
        <x:v>1000</x:v>
      </x:c>
      <x:c r="J84" s="24" t="str">
        <x:v>Sim</x:v>
      </x:c>
      <x:c r="K84" s="24" t="n">
        <x:v>24</x:v>
      </x:c>
      <x:c r="L84" s="26" t="str">
        <x:f>IF(ISNUMBER(K84),IF(K84&lt;=10,"Baixo",IF(K84&lt;=25,"Médio","Alto")),"")</x:f>
        <x:v>Médio</x:v>
      </x:c>
      <x:c r="M84" s="27" t="n">
        <x:v>39500</x:v>
      </x:c>
      <x:c r="N84" s="27" t="str">
        <x:f>IF(AND(L84="Alto",OR(J84="Sim",J84="S")),"Negada","Passa")</x:f>
        <x:v>Passa</x:v>
      </x:c>
      <x:c r="O84" s="27" t="str">
        <x:f>IF(AND(ISNUMBER(I84),I84&gt;50000,OR(J84="Sim",J84="S")),"Negada","Passa")</x:f>
        <x:v>Passa</x:v>
      </x:c>
      <x:c r="P84" s="27" t="n">
        <x:f>IF(OR(N84="Negada",O84="Negada",A84="Inativo",A84="INATIVO"),0,IF(A84="Ativo",M84*1.08,0))</x:f>
        <x:v>0</x:v>
      </x:c>
    </x:row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howErrorMessage="1" sqref="J2:J51">
      <x:formula1>"Sim,Não"</x:formula1>
    </x:dataValidation>
    <x:dataValidation type="list" allowBlank="1" showErrorMessage="1" sqref="G2:G51">
      <x:formula1>"Vale,Terras da Tempestade,Terras da Coroa,Ilhas de Ferro,Oeste,Essos,Terras Fluviais,Norte,Campina,Dorne"</x:formula1>
    </x:dataValidation>
    <x:dataValidation type="list" allowBlank="1" showErrorMessage="1" sqref="A2:A51">
      <x:formula1>"Ativo,Inativo"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9.43000030517578" customWidth="1"/>
    <x:col min="2" max="2" width="47.86000061035156" customWidth="1"/>
    <x:col min="3" max="3" width="26.56999969482422" customWidth="1"/>
    <x:col min="4" max="4" width="54.290000915527344" customWidth="1"/>
    <x:col min="5" max="5" width="37.709999084472656" customWidth="1"/>
    <x:col min="6" max="26" width="8.710000038146973" customWidth="1"/>
  </x:cols>
  <x:sheetData>
    <x:row r="1">
      <x:c r="A1" s="1" t="s">
        <x:v>194</x:v>
      </x:c>
      <x:c r="B1" s="1" t="s">
        <x:v>195</x:v>
      </x:c>
      <x:c r="C1" s="1" t="s">
        <x:v>196</x:v>
      </x:c>
      <x:c r="D1" s="1" t="s">
        <x:v>197</x:v>
      </x:c>
      <x:c r="E1" s="1" t="s">
        <x:v>198</x:v>
      </x:c>
    </x:row>
    <x:row r="2">
      <x:c r="A2" s="3" t="s">
        <x:v>199</x:v>
      </x:c>
      <x:c r="B2" s="4" t="s">
        <x:v>200</x:v>
      </x:c>
      <x:c r="C2" s="5" t="s">
        <x:v>201</x:v>
      </x:c>
      <x:c r="D2" s="4" t="s">
        <x:v>202</x:v>
      </x:c>
      <x:c r="E2" s="4" t="s">
        <x:v>203</x:v>
      </x:c>
    </x:row>
    <x:row r="3">
      <x:c r="A3" s="3" t="s">
        <x:v>204</x:v>
      </x:c>
      <x:c r="B3" s="4" t="s">
        <x:v>205</x:v>
      </x:c>
      <x:c r="C3" s="5" t="s">
        <x:v>206</x:v>
      </x:c>
      <x:c r="D3" s="4" t="s">
        <x:v>207</x:v>
      </x:c>
      <x:c r="E3" s="4" t="s">
        <x:v>208</x:v>
      </x:c>
    </x:row>
    <x:row r="4">
      <x:c r="A4" s="3" t="s">
        <x:v>209</x:v>
      </x:c>
      <x:c r="B4" s="4" t="s">
        <x:v>210</x:v>
      </x:c>
      <x:c r="C4" s="5" t="s">
        <x:v>11</x:v>
      </x:c>
      <x:c r="D4" s="4" t="s">
        <x:v>211</x:v>
      </x:c>
      <x:c r="E4" s="4" t="s">
        <x:v>212</x:v>
      </x:c>
    </x:row>
    <x:row r="5">
      <x:c r="A5" s="3" t="s">
        <x:v>213</x:v>
      </x:c>
      <x:c r="B5" s="4" t="s">
        <x:v>214</x:v>
      </x:c>
      <x:c r="C5" s="5" t="s">
        <x:v>13</x:v>
      </x:c>
      <x:c r="D5" s="4" t="s">
        <x:v>215</x:v>
      </x:c>
      <x:c r="E5" s="4" t="s">
        <x:v>216</x:v>
      </x:c>
    </x:row>
    <x:row r="6">
      <x:c r="A6" s="3" t="s">
        <x:v>217</x:v>
      </x:c>
      <x:c r="B6" s="4" t="s">
        <x:v>218</x:v>
      </x:c>
      <x:c r="C6" s="5" t="s">
        <x:v>14</x:v>
      </x:c>
      <x:c r="D6" s="4" t="s">
        <x:v>219</x:v>
      </x:c>
      <x:c r="E6" s="4" t="s">
        <x:v>220</x:v>
      </x:c>
    </x:row>
    <x:row r="7">
      <x:c r="A7" s="3" t="s">
        <x:v>221</x:v>
      </x:c>
      <x:c r="B7" s="4" t="s">
        <x:v>222</x:v>
      </x:c>
      <x:c r="C7" s="5" t="s">
        <x:v>15</x:v>
      </x:c>
      <x:c r="D7" s="4" t="s">
        <x:v>223</x:v>
      </x:c>
      <x:c r="E7" s="4" t="s">
        <x:v>224</x:v>
      </x:c>
    </x:row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</x:sheetData>
  <x:pageMargins left="0.7" right="0.7" top="0.75" bottom="0.75" header="0.3" footer="0.3"/>
</x:worksheet>
</file>